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20" yWindow="-120" windowWidth="19420" windowHeight="11020" activeTab="5"/>
  </bookViews>
  <sheets>
    <sheet name="Cleaned and encoded data" sheetId="1" r:id="rId1"/>
    <sheet name="Pivot and Pie chart" sheetId="6" r:id="rId2"/>
    <sheet name="Bar chart" sheetId="7" r:id="rId3"/>
    <sheet name="Correlation" sheetId="11" r:id="rId4"/>
    <sheet name="Regression" sheetId="18" r:id="rId5"/>
    <sheet name="Predicted tip" sheetId="8" r:id="rId6"/>
  </sheets>
  <definedNames>
    <definedName name="_xlnm._FilterDatabase" localSheetId="0" hidden="1">'Cleaned and encoded data'!$A$1:$K$244</definedName>
  </definedNames>
  <calcPr calcId="145621"/>
  <pivotCaches>
    <pivotCache cacheId="5" r:id="rId7"/>
    <pivotCache cacheId="6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8" l="1"/>
  <c r="H3" i="8"/>
  <c r="H4" i="8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N7" i="1" l="1"/>
  <c r="N6" i="1"/>
  <c r="M6" i="1"/>
  <c r="M7" i="1"/>
  <c r="L4" i="1"/>
  <c r="G1048576" i="1" l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" i="1"/>
</calcChain>
</file>

<file path=xl/sharedStrings.xml><?xml version="1.0" encoding="utf-8"?>
<sst xmlns="http://schemas.openxmlformats.org/spreadsheetml/2006/main" count="1091" uniqueCount="67">
  <si>
    <t>smoker</t>
  </si>
  <si>
    <t>day</t>
  </si>
  <si>
    <t>time</t>
  </si>
  <si>
    <t>size</t>
  </si>
  <si>
    <t>tip</t>
  </si>
  <si>
    <t>Female</t>
  </si>
  <si>
    <t>No</t>
  </si>
  <si>
    <t>Sun</t>
  </si>
  <si>
    <t>Dinner</t>
  </si>
  <si>
    <t>Male</t>
  </si>
  <si>
    <t xml:space="preserve">sex </t>
  </si>
  <si>
    <t>Gender of the customer</t>
  </si>
  <si>
    <t>Indicates if the customer is a smoker or not</t>
  </si>
  <si>
    <t>Day of the restaurant visit</t>
  </si>
  <si>
    <t>Indicates whether the tip was for lunch or dinner</t>
  </si>
  <si>
    <t>Number of members dining</t>
  </si>
  <si>
    <t>total bill</t>
  </si>
  <si>
    <t>Bill amount in USD</t>
  </si>
  <si>
    <t>Tip amount in USD</t>
  </si>
  <si>
    <t>Sat</t>
  </si>
  <si>
    <t>Yes</t>
  </si>
  <si>
    <t>Thur</t>
  </si>
  <si>
    <t>Lunch</t>
  </si>
  <si>
    <t>Fri</t>
  </si>
  <si>
    <t>Sex Num</t>
  </si>
  <si>
    <t>Smoker Num</t>
  </si>
  <si>
    <t>Day Num</t>
  </si>
  <si>
    <t>Time Num</t>
  </si>
  <si>
    <t>Sex</t>
  </si>
  <si>
    <t>Smoker</t>
  </si>
  <si>
    <t>Day</t>
  </si>
  <si>
    <t>Time</t>
  </si>
  <si>
    <t>Size</t>
  </si>
  <si>
    <t>Total Bil</t>
  </si>
  <si>
    <t>Tip</t>
  </si>
  <si>
    <t>Grand Total</t>
  </si>
  <si>
    <t>Row Labels</t>
  </si>
  <si>
    <t>Tips</t>
  </si>
  <si>
    <t>Sum of Tips</t>
  </si>
  <si>
    <t>Sum of Lunch</t>
  </si>
  <si>
    <t>Sum of Dinner</t>
  </si>
  <si>
    <t>CORRELATION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</si>
  <si>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</si>
  <si>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</si>
  <si>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</si>
  <si>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</si>
  <si>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</si>
  <si>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</si>
  <si>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</si>
  <si>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</si>
  <si>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</si>
  <si>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</si>
  <si>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</si>
  <si>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</si>
  <si>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</si>
  <si>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</si>
  <si>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</si>
  <si>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</si>
  <si>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</si>
  <si>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</si>
  <si>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</si>
  <si>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</si>
  <si>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</si>
  <si>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</si>
  <si>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</si>
  <si>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</si>
  <si>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Predicted tip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</si>
</sst>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43" fontId="7" fillId="0" borderId="0" applyFont="0" applyFill="0" applyBorder="0" applyAlignment="0" applyProtection="0"/>
  </cellStyleXfs>
  <cellXfs count="31">
    <xf numFmtId="0" fontId="0" fillId="0" borderId="0" xfId="0"/>
    <xf numFmtId="0" fontId="0" fillId="0" borderId="1" xfId="0" applyBorder="1"/>
    <xf numFmtId="0" fontId="0" fillId="0" borderId="0" xfId="0" applyAlignment="1"/>
    <xf numFmtId="0" fontId="1" fillId="2" borderId="0" xfId="1"/>
    <xf numFmtId="0" fontId="2" fillId="2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" borderId="2" xfId="0" applyFill="1" applyBorder="1"/>
    <xf numFmtId="0" fontId="0" fillId="3" borderId="3" xfId="0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3" borderId="1" xfId="0" applyFill="1" applyBorder="1"/>
    <xf numFmtId="0" fontId="0" fillId="0" borderId="0" xfId="0" applyFill="1" applyBorder="1" applyAlignment="1"/>
    <xf numFmtId="0" fontId="0" fillId="0" borderId="0" xfId="0" applyBorder="1"/>
    <xf numFmtId="0" fontId="4" fillId="0" borderId="0" xfId="0" applyFont="1" applyFill="1" applyBorder="1" applyAlignment="1">
      <alignment horizontal="center"/>
    </xf>
    <xf numFmtId="0" fontId="0" fillId="0" borderId="1" xfId="0" applyFill="1" applyBorder="1" applyAlignment="1"/>
    <xf numFmtId="0" fontId="4" fillId="4" borderId="1" xfId="0" applyFont="1" applyFill="1" applyBorder="1" applyAlignment="1">
      <alignment horizontal="center"/>
    </xf>
    <xf numFmtId="0" fontId="3" fillId="4" borderId="1" xfId="0" applyFont="1" applyFill="1" applyBorder="1" applyAlignment="1"/>
    <xf numFmtId="0" fontId="6" fillId="4" borderId="1" xfId="0" applyFont="1" applyFill="1" applyBorder="1" applyAlignment="1">
      <alignment horizontal="center"/>
    </xf>
    <xf numFmtId="0" fontId="0" fillId="5" borderId="1" xfId="0" applyFill="1" applyBorder="1" applyAlignment="1"/>
    <xf numFmtId="0" fontId="0" fillId="6" borderId="1" xfId="0" applyFill="1" applyBorder="1" applyAlignment="1"/>
    <xf numFmtId="0" fontId="0" fillId="3" borderId="1" xfId="0" applyFill="1" applyBorder="1" applyAlignment="1">
      <alignment horizontal="center"/>
    </xf>
    <xf numFmtId="43" fontId="0" fillId="3" borderId="1" xfId="2" applyFont="1" applyFill="1" applyBorder="1" applyAlignment="1">
      <alignment horizontal="center"/>
    </xf>
    <xf numFmtId="43" fontId="0" fillId="7" borderId="0" xfId="2" applyFont="1" applyFill="1"/>
    <xf numFmtId="0" fontId="5" fillId="4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3" borderId="1" xfId="0" applyFont="1" applyFill="1" applyBorder="1" applyAlignment="1"/>
  </cellXfs>
  <cellStyles count="3">
    <cellStyle name="Comma" xfId="2" builtinId="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Copy of Restaurant tips dataset.xlsx]Pivot and Pie chart!PivotTable3</c:name>
    <c:fmtId val="0"/>
  </c:pivotSource>
  <c:chart>
    <c:autoTitleDeleted val="1"/>
    <c:pivotFmts>
      <c:pivotFmt>
        <c:idx val="0"/>
        <c:marker>
          <c:symbol val="none"/>
        </c:marker>
      </c:pivotFmt>
    </c:pivotFmts>
    <c:plotArea>
      <c:layout/>
      <c:pieChart>
        <c:varyColors val="1"/>
        <c:ser>
          <c:idx val="0"/>
          <c:order val="0"/>
          <c:tx>
            <c:strRef>
              <c:f>'Pivot and Pie chart'!$B$5</c:f>
              <c:strCache>
                <c:ptCount val="1"/>
                <c:pt idx="0">
                  <c:v>Total</c:v>
                </c:pt>
              </c:strCache>
            </c:strRef>
          </c:tx>
          <c:cat>
            <c:strRef>
              <c:f>'Pivot and Pie chart'!$A$6:$A$8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and Pie chart'!$B$6:$B$8</c:f>
              <c:numCache>
                <c:formatCode>General</c:formatCode>
                <c:ptCount val="2"/>
                <c:pt idx="0">
                  <c:v>244.51</c:v>
                </c:pt>
                <c:pt idx="1">
                  <c:v>485.07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Copy of Restaurant tips dataset.xlsx]Bar chart!PivotTable4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'Bar chart'!$B$6</c:f>
              <c:strCache>
                <c:ptCount val="1"/>
                <c:pt idx="0">
                  <c:v>Sum of Lunch</c:v>
                </c:pt>
              </c:strCache>
            </c:strRef>
          </c:tx>
          <c:invertIfNegative val="0"/>
          <c:cat>
            <c:strRef>
              <c:f>'Bar chart'!$A$7:$A$9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'Bar chart'!$B$7:$B$9</c:f>
              <c:numCache>
                <c:formatCode>General</c:formatCode>
                <c:ptCount val="2"/>
                <c:pt idx="0">
                  <c:v>88.4</c:v>
                </c:pt>
                <c:pt idx="1">
                  <c:v>95.11</c:v>
                </c:pt>
              </c:numCache>
            </c:numRef>
          </c:val>
        </c:ser>
        <c:ser>
          <c:idx val="1"/>
          <c:order val="1"/>
          <c:tx>
            <c:strRef>
              <c:f>'Bar chart'!$C$6</c:f>
              <c:strCache>
                <c:ptCount val="1"/>
                <c:pt idx="0">
                  <c:v>Sum of Dinner</c:v>
                </c:pt>
              </c:strCache>
            </c:strRef>
          </c:tx>
          <c:invertIfNegative val="0"/>
          <c:cat>
            <c:strRef>
              <c:f>'Bar chart'!$A$7:$A$9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'Bar chart'!$C$7:$C$9</c:f>
              <c:numCache>
                <c:formatCode>General</c:formatCode>
                <c:ptCount val="2"/>
                <c:pt idx="0">
                  <c:v>156.11000000000001</c:v>
                </c:pt>
                <c:pt idx="1">
                  <c:v>389.96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41671936"/>
        <c:axId val="293920064"/>
      </c:barChart>
      <c:catAx>
        <c:axId val="341671936"/>
        <c:scaling>
          <c:orientation val="minMax"/>
        </c:scaling>
        <c:delete val="0"/>
        <c:axPos val="b"/>
        <c:majorTickMark val="out"/>
        <c:minorTickMark val="none"/>
        <c:tickLblPos val="nextTo"/>
        <c:crossAx val="293920064"/>
        <c:crosses val="autoZero"/>
        <c:auto val="1"/>
        <c:lblAlgn val="ctr"/>
        <c:lblOffset val="100"/>
        <c:noMultiLvlLbl val="0"/>
      </c:catAx>
      <c:valAx>
        <c:axId val="293920064"/>
        <c:scaling>
          <c:orientation val="minMax"/>
        </c:scaling>
        <c:delete val="0"/>
        <c:axPos val="l"/>
        <c:majorGridlines>
          <c:spPr>
            <a:ln>
              <a:noFill/>
            </a:ln>
          </c:spPr>
        </c:majorGridlines>
        <c:numFmt formatCode="General" sourceLinked="1"/>
        <c:majorTickMark val="out"/>
        <c:minorTickMark val="none"/>
        <c:tickLblPos val="nextTo"/>
        <c:crossAx val="341671936"/>
        <c:crosses val="autoZero"/>
        <c:crossBetween val="between"/>
      </c:valAx>
      <c:spPr>
        <a:noFill/>
        <a:ln>
          <a:noFill/>
        </a:ln>
      </c:spPr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34925</xdr:colOff>
      <xdr:row>3</xdr:row>
      <xdr:rowOff>136525</xdr:rowOff>
    </xdr:from>
    <xdr:to>
      <xdr:col>11</xdr:col>
      <xdr:colOff>339725</xdr:colOff>
      <xdr:row>18</xdr:row>
      <xdr:rowOff>117475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180975</xdr:colOff>
      <xdr:row>3</xdr:row>
      <xdr:rowOff>98425</xdr:rowOff>
    </xdr:from>
    <xdr:to>
      <xdr:col>12</xdr:col>
      <xdr:colOff>485775</xdr:colOff>
      <xdr:row>18</xdr:row>
      <xdr:rowOff>79375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ublic" refreshedDate="45927.998589699077" createdVersion="4" refreshedVersion="4" minRefreshableVersion="3" recordCount="2">
  <cacheSource type="worksheet">
    <worksheetSource ref="A1:B3" sheet="Pivot and Pie chart"/>
  </cacheSource>
  <cacheFields count="2">
    <cacheField name="Sex" numFmtId="0">
      <sharedItems count="2">
        <s v="Male"/>
        <s v="Female"/>
      </sharedItems>
    </cacheField>
    <cacheField name="Tips" numFmtId="0">
      <sharedItems containsSemiMixedTypes="0" containsString="0" containsNumber="1" minValue="244.51" maxValue="485.07" count="2">
        <n v="485.07"/>
        <n v="244.5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Public" refreshedDate="45928.006995833333" createdVersion="4" refreshedVersion="4" minRefreshableVersion="3" recordCount="2">
  <cacheSource type="worksheet">
    <worksheetSource ref="A1:C3" sheet="Bar chart"/>
  </cacheSource>
  <cacheFields count="3">
    <cacheField name="Sex" numFmtId="0">
      <sharedItems count="2">
        <s v="Male"/>
        <s v="Female"/>
      </sharedItems>
    </cacheField>
    <cacheField name="Lunch" numFmtId="0">
      <sharedItems containsSemiMixedTypes="0" containsString="0" containsNumber="1" minValue="88.4" maxValue="95.11"/>
    </cacheField>
    <cacheField name="Dinner" numFmtId="0">
      <sharedItems containsSemiMixedTypes="0" containsString="0" containsNumber="1" minValue="156.11000000000001" maxValue="389.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">
  <r>
    <x v="0"/>
    <x v="0"/>
  </r>
  <r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">
  <r>
    <x v="0"/>
    <n v="95.11"/>
    <n v="389.96"/>
  </r>
  <r>
    <x v="1"/>
    <n v="88.4"/>
    <n v="156.11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3" cacheId="5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5:B8" firstHeaderRow="1" firstDataRow="1" firstDataCol="1"/>
  <pivotFields count="2">
    <pivotField axis="axisRow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Tips" fld="1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6:C9" firstHeaderRow="0" firstDataRow="1" firstDataCol="1"/>
  <pivotFields count="3">
    <pivotField axis="axisRow" showAll="0">
      <items count="3">
        <item x="1"/>
        <item x="0"/>
        <item t="default"/>
      </items>
    </pivotField>
    <pivotField dataField="1" showAll="0"/>
    <pivotField dataField="1" showAll="0"/>
  </pivotFields>
  <rowFields count="1">
    <field x="0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Lunch" fld="1" baseField="0" baseItem="0"/>
    <dataField name="Sum of Dinner" fld="2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48576"/>
  <sheetViews>
    <sheetView workbookViewId="0">
      <selection activeCell="O12" sqref="O12"/>
    </sheetView>
  </sheetViews>
  <sheetFormatPr defaultColWidth="13.453125" defaultRowHeight="14.5" x14ac:dyDescent="0.35"/>
  <cols>
    <col min="1" max="7" width="13.453125" style="2"/>
    <col min="12" max="14" width="0" hidden="1" customWidth="1"/>
    <col min="16" max="16" width="46" bestFit="1" customWidth="1"/>
  </cols>
  <sheetData>
    <row r="1" spans="1:16" x14ac:dyDescent="0.35">
      <c r="A1" s="4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24</v>
      </c>
      <c r="I1" s="3" t="s">
        <v>25</v>
      </c>
      <c r="J1" s="3" t="s">
        <v>26</v>
      </c>
      <c r="K1" s="3" t="s">
        <v>27</v>
      </c>
    </row>
    <row r="2" spans="1:16" x14ac:dyDescent="0.35">
      <c r="A2" s="2" t="s">
        <v>5</v>
      </c>
      <c r="B2" s="2" t="s">
        <v>6</v>
      </c>
      <c r="C2" s="2" t="s">
        <v>7</v>
      </c>
      <c r="D2" s="2" t="s">
        <v>8</v>
      </c>
      <c r="E2" s="2">
        <v>2</v>
      </c>
      <c r="F2" s="2">
        <v>16.989999999999998</v>
      </c>
      <c r="G2" s="2">
        <v>1.01</v>
      </c>
      <c r="H2">
        <f>IF(A2="Male",1,0)</f>
        <v>0</v>
      </c>
      <c r="I2">
        <f>IF(B2="No",1,0)</f>
        <v>1</v>
      </c>
      <c r="J2">
        <f>IF(C2="Thur",1,IF(C2="Fri",2,IF(C2="Sat",3,4)))</f>
        <v>4</v>
      </c>
      <c r="K2">
        <f>IF(D2="Dinner",1,0)</f>
        <v>1</v>
      </c>
    </row>
    <row r="3" spans="1:16" x14ac:dyDescent="0.35">
      <c r="A3" s="2" t="s">
        <v>9</v>
      </c>
      <c r="B3" s="2" t="s">
        <v>6</v>
      </c>
      <c r="C3" s="2" t="s">
        <v>7</v>
      </c>
      <c r="D3" s="2" t="s">
        <v>8</v>
      </c>
      <c r="E3" s="2">
        <v>3</v>
      </c>
      <c r="F3" s="2">
        <v>10.34</v>
      </c>
      <c r="G3" s="2">
        <v>1.66</v>
      </c>
      <c r="H3">
        <f t="shared" ref="H3:H66" si="0">IF(A3="Male",1,0)</f>
        <v>1</v>
      </c>
      <c r="I3">
        <f t="shared" ref="I3:I66" si="1">IF(B3="No",1,0)</f>
        <v>1</v>
      </c>
      <c r="J3">
        <f t="shared" ref="J3:J66" si="2">IF(C3="Thur",1,IF(C3="Fri",2,IF(C3="Sat",3,4)))</f>
        <v>4</v>
      </c>
      <c r="K3">
        <f t="shared" ref="K3:K66" si="3">IF(D3="Dinner",1,0)</f>
        <v>1</v>
      </c>
      <c r="O3" s="1" t="s">
        <v>10</v>
      </c>
      <c r="P3" s="1" t="s">
        <v>11</v>
      </c>
    </row>
    <row r="4" spans="1:16" x14ac:dyDescent="0.35">
      <c r="A4" s="2" t="s">
        <v>9</v>
      </c>
      <c r="B4" s="2" t="s">
        <v>6</v>
      </c>
      <c r="C4" s="2" t="s">
        <v>7</v>
      </c>
      <c r="D4" s="2" t="s">
        <v>8</v>
      </c>
      <c r="E4" s="2">
        <v>3</v>
      </c>
      <c r="F4" s="2">
        <v>21.01</v>
      </c>
      <c r="G4" s="2">
        <v>3.5</v>
      </c>
      <c r="H4">
        <f t="shared" si="0"/>
        <v>1</v>
      </c>
      <c r="I4">
        <f t="shared" si="1"/>
        <v>1</v>
      </c>
      <c r="J4">
        <f t="shared" si="2"/>
        <v>4</v>
      </c>
      <c r="K4">
        <f t="shared" si="3"/>
        <v>1</v>
      </c>
      <c r="L4">
        <f>SUMIF(A:A,"Female",G:G)</f>
        <v>244.51</v>
      </c>
      <c r="O4" s="1" t="s">
        <v>0</v>
      </c>
      <c r="P4" s="1" t="s">
        <v>12</v>
      </c>
    </row>
    <row r="5" spans="1:16" x14ac:dyDescent="0.35">
      <c r="A5" s="2" t="s">
        <v>9</v>
      </c>
      <c r="B5" s="2" t="s">
        <v>6</v>
      </c>
      <c r="C5" s="2" t="s">
        <v>7</v>
      </c>
      <c r="D5" s="2" t="s">
        <v>8</v>
      </c>
      <c r="E5" s="2">
        <v>2</v>
      </c>
      <c r="F5" s="2">
        <v>23.68</v>
      </c>
      <c r="G5" s="2">
        <v>3.31</v>
      </c>
      <c r="H5">
        <f t="shared" si="0"/>
        <v>1</v>
      </c>
      <c r="I5">
        <f t="shared" si="1"/>
        <v>1</v>
      </c>
      <c r="J5">
        <f t="shared" si="2"/>
        <v>4</v>
      </c>
      <c r="K5">
        <f t="shared" si="3"/>
        <v>1</v>
      </c>
      <c r="L5" t="s">
        <v>28</v>
      </c>
      <c r="M5" t="s">
        <v>22</v>
      </c>
      <c r="N5" t="s">
        <v>8</v>
      </c>
      <c r="O5" s="1" t="s">
        <v>1</v>
      </c>
      <c r="P5" s="1" t="s">
        <v>13</v>
      </c>
    </row>
    <row r="6" spans="1:16" x14ac:dyDescent="0.35">
      <c r="A6" s="2" t="s">
        <v>5</v>
      </c>
      <c r="B6" s="2" t="s">
        <v>6</v>
      </c>
      <c r="C6" s="2" t="s">
        <v>7</v>
      </c>
      <c r="D6" s="2" t="s">
        <v>8</v>
      </c>
      <c r="E6" s="2">
        <v>4</v>
      </c>
      <c r="F6" s="2">
        <v>24.59</v>
      </c>
      <c r="G6" s="2">
        <v>3.61</v>
      </c>
      <c r="H6">
        <f t="shared" si="0"/>
        <v>0</v>
      </c>
      <c r="I6">
        <f t="shared" si="1"/>
        <v>1</v>
      </c>
      <c r="J6">
        <f t="shared" si="2"/>
        <v>4</v>
      </c>
      <c r="K6">
        <f t="shared" si="3"/>
        <v>1</v>
      </c>
      <c r="L6" t="s">
        <v>9</v>
      </c>
      <c r="M6">
        <f>SUMIFS(G:G,A:A,"Male",D:D,"Lunch")</f>
        <v>95.11</v>
      </c>
      <c r="N6">
        <f>SUMIFS(G:G,A:A,"Male",D:D,"Dinner")</f>
        <v>389.96000000000004</v>
      </c>
      <c r="O6" s="1" t="s">
        <v>2</v>
      </c>
      <c r="P6" s="1" t="s">
        <v>14</v>
      </c>
    </row>
    <row r="7" spans="1:16" x14ac:dyDescent="0.35">
      <c r="A7" s="2" t="s">
        <v>9</v>
      </c>
      <c r="B7" s="2" t="s">
        <v>6</v>
      </c>
      <c r="C7" s="2" t="s">
        <v>7</v>
      </c>
      <c r="D7" s="2" t="s">
        <v>8</v>
      </c>
      <c r="E7" s="2">
        <v>4</v>
      </c>
      <c r="F7" s="2">
        <v>25.29</v>
      </c>
      <c r="G7" s="2">
        <v>4.71</v>
      </c>
      <c r="H7">
        <f t="shared" si="0"/>
        <v>1</v>
      </c>
      <c r="I7">
        <f t="shared" si="1"/>
        <v>1</v>
      </c>
      <c r="J7">
        <f t="shared" si="2"/>
        <v>4</v>
      </c>
      <c r="K7">
        <f t="shared" si="3"/>
        <v>1</v>
      </c>
      <c r="L7" t="s">
        <v>5</v>
      </c>
      <c r="M7">
        <f>SUMIFS(G:G,A:A,"Female",D:D,"Lunch")</f>
        <v>88.40000000000002</v>
      </c>
      <c r="N7">
        <f>SUMIFS(G:G,A:A,"Female",D:D,"Dinner")</f>
        <v>156.10999999999999</v>
      </c>
      <c r="O7" s="1" t="s">
        <v>3</v>
      </c>
      <c r="P7" s="1" t="s">
        <v>15</v>
      </c>
    </row>
    <row r="8" spans="1:16" x14ac:dyDescent="0.35">
      <c r="A8" s="2" t="s">
        <v>9</v>
      </c>
      <c r="B8" s="2" t="s">
        <v>6</v>
      </c>
      <c r="C8" s="2" t="s">
        <v>7</v>
      </c>
      <c r="D8" s="2" t="s">
        <v>8</v>
      </c>
      <c r="E8" s="2">
        <v>2</v>
      </c>
      <c r="F8" s="2">
        <v>8.77</v>
      </c>
      <c r="G8" s="2">
        <v>2</v>
      </c>
      <c r="H8">
        <f t="shared" si="0"/>
        <v>1</v>
      </c>
      <c r="I8">
        <f t="shared" si="1"/>
        <v>1</v>
      </c>
      <c r="J8">
        <f t="shared" si="2"/>
        <v>4</v>
      </c>
      <c r="K8">
        <f t="shared" si="3"/>
        <v>1</v>
      </c>
      <c r="O8" s="1" t="s">
        <v>16</v>
      </c>
      <c r="P8" s="1" t="s">
        <v>17</v>
      </c>
    </row>
    <row r="9" spans="1:16" x14ac:dyDescent="0.35">
      <c r="A9" s="2" t="s">
        <v>9</v>
      </c>
      <c r="B9" s="2" t="s">
        <v>6</v>
      </c>
      <c r="C9" s="2" t="s">
        <v>7</v>
      </c>
      <c r="D9" s="2" t="s">
        <v>8</v>
      </c>
      <c r="E9" s="2">
        <v>4</v>
      </c>
      <c r="F9" s="2">
        <v>26.88</v>
      </c>
      <c r="G9" s="2">
        <v>3.12</v>
      </c>
      <c r="H9">
        <f t="shared" si="0"/>
        <v>1</v>
      </c>
      <c r="I9">
        <f t="shared" si="1"/>
        <v>1</v>
      </c>
      <c r="J9">
        <f t="shared" si="2"/>
        <v>4</v>
      </c>
      <c r="K9">
        <f t="shared" si="3"/>
        <v>1</v>
      </c>
      <c r="O9" s="1" t="s">
        <v>4</v>
      </c>
      <c r="P9" s="1" t="s">
        <v>18</v>
      </c>
    </row>
    <row r="10" spans="1:16" x14ac:dyDescent="0.35">
      <c r="A10" s="2" t="s">
        <v>9</v>
      </c>
      <c r="B10" s="2" t="s">
        <v>6</v>
      </c>
      <c r="C10" s="2" t="s">
        <v>7</v>
      </c>
      <c r="D10" s="2" t="s">
        <v>8</v>
      </c>
      <c r="E10" s="2">
        <v>2</v>
      </c>
      <c r="F10" s="2">
        <v>15.04</v>
      </c>
      <c r="G10" s="2">
        <v>1.96</v>
      </c>
      <c r="H10">
        <f t="shared" si="0"/>
        <v>1</v>
      </c>
      <c r="I10">
        <f t="shared" si="1"/>
        <v>1</v>
      </c>
      <c r="J10">
        <f t="shared" si="2"/>
        <v>4</v>
      </c>
      <c r="K10">
        <f t="shared" si="3"/>
        <v>1</v>
      </c>
    </row>
    <row r="11" spans="1:16" x14ac:dyDescent="0.35">
      <c r="A11" s="2" t="s">
        <v>9</v>
      </c>
      <c r="B11" s="2" t="s">
        <v>6</v>
      </c>
      <c r="C11" s="2" t="s">
        <v>7</v>
      </c>
      <c r="D11" s="2" t="s">
        <v>8</v>
      </c>
      <c r="E11" s="2">
        <v>2</v>
      </c>
      <c r="F11" s="2">
        <v>14.78</v>
      </c>
      <c r="G11" s="2">
        <v>3.23</v>
      </c>
      <c r="H11">
        <f t="shared" si="0"/>
        <v>1</v>
      </c>
      <c r="I11">
        <f t="shared" si="1"/>
        <v>1</v>
      </c>
      <c r="J11">
        <f t="shared" si="2"/>
        <v>4</v>
      </c>
      <c r="K11">
        <f t="shared" si="3"/>
        <v>1</v>
      </c>
    </row>
    <row r="12" spans="1:16" x14ac:dyDescent="0.35">
      <c r="A12" s="2" t="s">
        <v>9</v>
      </c>
      <c r="B12" s="2" t="s">
        <v>6</v>
      </c>
      <c r="C12" s="2" t="s">
        <v>7</v>
      </c>
      <c r="D12" s="2" t="s">
        <v>8</v>
      </c>
      <c r="E12" s="2">
        <v>2</v>
      </c>
      <c r="F12" s="2">
        <v>10.27</v>
      </c>
      <c r="G12" s="2">
        <v>1.71</v>
      </c>
      <c r="H12">
        <f t="shared" si="0"/>
        <v>1</v>
      </c>
      <c r="I12">
        <f t="shared" si="1"/>
        <v>1</v>
      </c>
      <c r="J12">
        <f t="shared" si="2"/>
        <v>4</v>
      </c>
      <c r="K12">
        <f t="shared" si="3"/>
        <v>1</v>
      </c>
    </row>
    <row r="13" spans="1:16" x14ac:dyDescent="0.35">
      <c r="A13" s="2" t="s">
        <v>5</v>
      </c>
      <c r="B13" s="2" t="s">
        <v>6</v>
      </c>
      <c r="C13" s="2" t="s">
        <v>7</v>
      </c>
      <c r="D13" s="2" t="s">
        <v>8</v>
      </c>
      <c r="E13" s="2">
        <v>4</v>
      </c>
      <c r="F13" s="2">
        <v>35.26</v>
      </c>
      <c r="G13" s="2">
        <v>5</v>
      </c>
      <c r="H13">
        <f t="shared" si="0"/>
        <v>0</v>
      </c>
      <c r="I13">
        <f t="shared" si="1"/>
        <v>1</v>
      </c>
      <c r="J13">
        <f t="shared" si="2"/>
        <v>4</v>
      </c>
      <c r="K13">
        <f t="shared" si="3"/>
        <v>1</v>
      </c>
    </row>
    <row r="14" spans="1:16" x14ac:dyDescent="0.35">
      <c r="A14" s="2" t="s">
        <v>9</v>
      </c>
      <c r="B14" s="2" t="s">
        <v>6</v>
      </c>
      <c r="C14" s="2" t="s">
        <v>7</v>
      </c>
      <c r="D14" s="2" t="s">
        <v>8</v>
      </c>
      <c r="E14" s="2">
        <v>2</v>
      </c>
      <c r="F14" s="2">
        <v>15.42</v>
      </c>
      <c r="G14" s="2">
        <v>1.57</v>
      </c>
      <c r="H14">
        <f t="shared" si="0"/>
        <v>1</v>
      </c>
      <c r="I14">
        <f t="shared" si="1"/>
        <v>1</v>
      </c>
      <c r="J14">
        <f t="shared" si="2"/>
        <v>4</v>
      </c>
      <c r="K14">
        <f t="shared" si="3"/>
        <v>1</v>
      </c>
    </row>
    <row r="15" spans="1:16" x14ac:dyDescent="0.35">
      <c r="A15" s="2" t="s">
        <v>9</v>
      </c>
      <c r="B15" s="2" t="s">
        <v>6</v>
      </c>
      <c r="C15" s="2" t="s">
        <v>7</v>
      </c>
      <c r="D15" s="2" t="s">
        <v>8</v>
      </c>
      <c r="E15" s="2">
        <v>4</v>
      </c>
      <c r="F15" s="2">
        <v>18.43</v>
      </c>
      <c r="G15" s="2">
        <v>3</v>
      </c>
      <c r="H15">
        <f t="shared" si="0"/>
        <v>1</v>
      </c>
      <c r="I15">
        <f t="shared" si="1"/>
        <v>1</v>
      </c>
      <c r="J15">
        <f t="shared" si="2"/>
        <v>4</v>
      </c>
      <c r="K15">
        <f t="shared" si="3"/>
        <v>1</v>
      </c>
    </row>
    <row r="16" spans="1:16" x14ac:dyDescent="0.35">
      <c r="A16" s="2" t="s">
        <v>5</v>
      </c>
      <c r="B16" s="2" t="s">
        <v>6</v>
      </c>
      <c r="C16" s="2" t="s">
        <v>7</v>
      </c>
      <c r="D16" s="2" t="s">
        <v>8</v>
      </c>
      <c r="E16" s="2">
        <v>2</v>
      </c>
      <c r="F16" s="2">
        <v>14.83</v>
      </c>
      <c r="G16" s="2">
        <v>3.02</v>
      </c>
      <c r="H16">
        <f t="shared" si="0"/>
        <v>0</v>
      </c>
      <c r="I16">
        <f t="shared" si="1"/>
        <v>1</v>
      </c>
      <c r="J16">
        <f t="shared" si="2"/>
        <v>4</v>
      </c>
      <c r="K16">
        <f t="shared" si="3"/>
        <v>1</v>
      </c>
    </row>
    <row r="17" spans="1:11" x14ac:dyDescent="0.35">
      <c r="A17" s="2" t="s">
        <v>9</v>
      </c>
      <c r="B17" s="2" t="s">
        <v>6</v>
      </c>
      <c r="C17" s="2" t="s">
        <v>7</v>
      </c>
      <c r="D17" s="2" t="s">
        <v>8</v>
      </c>
      <c r="E17" s="2">
        <v>2</v>
      </c>
      <c r="F17" s="2">
        <v>21.58</v>
      </c>
      <c r="G17" s="2">
        <v>3.92</v>
      </c>
      <c r="H17">
        <f t="shared" si="0"/>
        <v>1</v>
      </c>
      <c r="I17">
        <f t="shared" si="1"/>
        <v>1</v>
      </c>
      <c r="J17">
        <f t="shared" si="2"/>
        <v>4</v>
      </c>
      <c r="K17">
        <f t="shared" si="3"/>
        <v>1</v>
      </c>
    </row>
    <row r="18" spans="1:11" x14ac:dyDescent="0.35">
      <c r="A18" s="2" t="s">
        <v>5</v>
      </c>
      <c r="B18" s="2" t="s">
        <v>6</v>
      </c>
      <c r="C18" s="2" t="s">
        <v>7</v>
      </c>
      <c r="D18" s="2" t="s">
        <v>8</v>
      </c>
      <c r="E18" s="2">
        <v>3</v>
      </c>
      <c r="F18" s="2">
        <v>10.33</v>
      </c>
      <c r="G18" s="2">
        <v>1.67</v>
      </c>
      <c r="H18">
        <f t="shared" si="0"/>
        <v>0</v>
      </c>
      <c r="I18">
        <f t="shared" si="1"/>
        <v>1</v>
      </c>
      <c r="J18">
        <f t="shared" si="2"/>
        <v>4</v>
      </c>
      <c r="K18">
        <f t="shared" si="3"/>
        <v>1</v>
      </c>
    </row>
    <row r="19" spans="1:11" x14ac:dyDescent="0.35">
      <c r="A19" s="2" t="s">
        <v>9</v>
      </c>
      <c r="B19" s="2" t="s">
        <v>6</v>
      </c>
      <c r="C19" s="2" t="s">
        <v>7</v>
      </c>
      <c r="D19" s="2" t="s">
        <v>8</v>
      </c>
      <c r="E19" s="2">
        <v>3</v>
      </c>
      <c r="F19" s="2">
        <v>16.29</v>
      </c>
      <c r="G19" s="2">
        <v>3.71</v>
      </c>
      <c r="H19">
        <f t="shared" si="0"/>
        <v>1</v>
      </c>
      <c r="I19">
        <f t="shared" si="1"/>
        <v>1</v>
      </c>
      <c r="J19">
        <f t="shared" si="2"/>
        <v>4</v>
      </c>
      <c r="K19">
        <f t="shared" si="3"/>
        <v>1</v>
      </c>
    </row>
    <row r="20" spans="1:11" x14ac:dyDescent="0.35">
      <c r="A20" s="2" t="s">
        <v>5</v>
      </c>
      <c r="B20" s="2" t="s">
        <v>6</v>
      </c>
      <c r="C20" s="2" t="s">
        <v>7</v>
      </c>
      <c r="D20" s="2" t="s">
        <v>8</v>
      </c>
      <c r="E20" s="2">
        <v>3</v>
      </c>
      <c r="F20" s="2">
        <v>16.97</v>
      </c>
      <c r="G20" s="2">
        <v>3.5</v>
      </c>
      <c r="H20">
        <f t="shared" si="0"/>
        <v>0</v>
      </c>
      <c r="I20">
        <f t="shared" si="1"/>
        <v>1</v>
      </c>
      <c r="J20">
        <f t="shared" si="2"/>
        <v>4</v>
      </c>
      <c r="K20">
        <f t="shared" si="3"/>
        <v>1</v>
      </c>
    </row>
    <row r="21" spans="1:11" x14ac:dyDescent="0.35">
      <c r="A21" s="2" t="s">
        <v>9</v>
      </c>
      <c r="B21" s="2" t="s">
        <v>6</v>
      </c>
      <c r="C21" s="2" t="s">
        <v>19</v>
      </c>
      <c r="D21" s="2" t="s">
        <v>8</v>
      </c>
      <c r="E21" s="2">
        <v>3</v>
      </c>
      <c r="F21" s="2">
        <v>20.65</v>
      </c>
      <c r="G21" s="2">
        <v>3.35</v>
      </c>
      <c r="H21">
        <f t="shared" si="0"/>
        <v>1</v>
      </c>
      <c r="I21">
        <f t="shared" si="1"/>
        <v>1</v>
      </c>
      <c r="J21">
        <f t="shared" si="2"/>
        <v>3</v>
      </c>
      <c r="K21">
        <f t="shared" si="3"/>
        <v>1</v>
      </c>
    </row>
    <row r="22" spans="1:11" x14ac:dyDescent="0.35">
      <c r="A22" s="2" t="s">
        <v>9</v>
      </c>
      <c r="B22" s="2" t="s">
        <v>6</v>
      </c>
      <c r="C22" s="2" t="s">
        <v>19</v>
      </c>
      <c r="D22" s="2" t="s">
        <v>8</v>
      </c>
      <c r="E22" s="2">
        <v>2</v>
      </c>
      <c r="F22" s="2">
        <v>17.920000000000002</v>
      </c>
      <c r="G22" s="2">
        <v>4.08</v>
      </c>
      <c r="H22">
        <f t="shared" si="0"/>
        <v>1</v>
      </c>
      <c r="I22">
        <f t="shared" si="1"/>
        <v>1</v>
      </c>
      <c r="J22">
        <f t="shared" si="2"/>
        <v>3</v>
      </c>
      <c r="K22">
        <f t="shared" si="3"/>
        <v>1</v>
      </c>
    </row>
    <row r="23" spans="1:11" x14ac:dyDescent="0.35">
      <c r="A23" s="2" t="s">
        <v>5</v>
      </c>
      <c r="B23" s="2" t="s">
        <v>6</v>
      </c>
      <c r="C23" s="2" t="s">
        <v>19</v>
      </c>
      <c r="D23" s="2" t="s">
        <v>8</v>
      </c>
      <c r="E23" s="2">
        <v>2</v>
      </c>
      <c r="F23" s="2">
        <v>20.29</v>
      </c>
      <c r="G23" s="2">
        <v>2.75</v>
      </c>
      <c r="H23">
        <f t="shared" si="0"/>
        <v>0</v>
      </c>
      <c r="I23">
        <f t="shared" si="1"/>
        <v>1</v>
      </c>
      <c r="J23">
        <f t="shared" si="2"/>
        <v>3</v>
      </c>
      <c r="K23">
        <f t="shared" si="3"/>
        <v>1</v>
      </c>
    </row>
    <row r="24" spans="1:11" x14ac:dyDescent="0.35">
      <c r="A24" s="2" t="s">
        <v>5</v>
      </c>
      <c r="B24" s="2" t="s">
        <v>6</v>
      </c>
      <c r="C24" s="2" t="s">
        <v>19</v>
      </c>
      <c r="D24" s="2" t="s">
        <v>8</v>
      </c>
      <c r="E24" s="2">
        <v>2</v>
      </c>
      <c r="F24" s="2">
        <v>15.77</v>
      </c>
      <c r="G24" s="2">
        <v>2.23</v>
      </c>
      <c r="H24">
        <f t="shared" si="0"/>
        <v>0</v>
      </c>
      <c r="I24">
        <f t="shared" si="1"/>
        <v>1</v>
      </c>
      <c r="J24">
        <f t="shared" si="2"/>
        <v>3</v>
      </c>
      <c r="K24">
        <f t="shared" si="3"/>
        <v>1</v>
      </c>
    </row>
    <row r="25" spans="1:11" x14ac:dyDescent="0.35">
      <c r="A25" s="2" t="s">
        <v>9</v>
      </c>
      <c r="B25" s="2" t="s">
        <v>6</v>
      </c>
      <c r="C25" s="2" t="s">
        <v>19</v>
      </c>
      <c r="D25" s="2" t="s">
        <v>8</v>
      </c>
      <c r="E25" s="2">
        <v>4</v>
      </c>
      <c r="F25" s="2">
        <v>39.42</v>
      </c>
      <c r="G25" s="2">
        <v>7.58</v>
      </c>
      <c r="H25">
        <f t="shared" si="0"/>
        <v>1</v>
      </c>
      <c r="I25">
        <f t="shared" si="1"/>
        <v>1</v>
      </c>
      <c r="J25">
        <f t="shared" si="2"/>
        <v>3</v>
      </c>
      <c r="K25">
        <f t="shared" si="3"/>
        <v>1</v>
      </c>
    </row>
    <row r="26" spans="1:11" x14ac:dyDescent="0.35">
      <c r="A26" s="2" t="s">
        <v>9</v>
      </c>
      <c r="B26" s="2" t="s">
        <v>6</v>
      </c>
      <c r="C26" s="2" t="s">
        <v>19</v>
      </c>
      <c r="D26" s="2" t="s">
        <v>8</v>
      </c>
      <c r="E26" s="2">
        <v>2</v>
      </c>
      <c r="F26" s="2">
        <v>19.82</v>
      </c>
      <c r="G26" s="2">
        <v>3.18</v>
      </c>
      <c r="H26">
        <f t="shared" si="0"/>
        <v>1</v>
      </c>
      <c r="I26">
        <f t="shared" si="1"/>
        <v>1</v>
      </c>
      <c r="J26">
        <f t="shared" si="2"/>
        <v>3</v>
      </c>
      <c r="K26">
        <f t="shared" si="3"/>
        <v>1</v>
      </c>
    </row>
    <row r="27" spans="1:11" x14ac:dyDescent="0.35">
      <c r="A27" s="2" t="s">
        <v>9</v>
      </c>
      <c r="B27" s="2" t="s">
        <v>6</v>
      </c>
      <c r="C27" s="2" t="s">
        <v>19</v>
      </c>
      <c r="D27" s="2" t="s">
        <v>8</v>
      </c>
      <c r="E27" s="2">
        <v>4</v>
      </c>
      <c r="F27" s="2">
        <v>17.809999999999999</v>
      </c>
      <c r="G27" s="2">
        <v>2.34</v>
      </c>
      <c r="H27">
        <f t="shared" si="0"/>
        <v>1</v>
      </c>
      <c r="I27">
        <f t="shared" si="1"/>
        <v>1</v>
      </c>
      <c r="J27">
        <f t="shared" si="2"/>
        <v>3</v>
      </c>
      <c r="K27">
        <f t="shared" si="3"/>
        <v>1</v>
      </c>
    </row>
    <row r="28" spans="1:11" x14ac:dyDescent="0.35">
      <c r="A28" s="2" t="s">
        <v>9</v>
      </c>
      <c r="B28" s="2" t="s">
        <v>6</v>
      </c>
      <c r="C28" s="2" t="s">
        <v>19</v>
      </c>
      <c r="D28" s="2" t="s">
        <v>8</v>
      </c>
      <c r="E28" s="2">
        <v>2</v>
      </c>
      <c r="F28" s="2">
        <v>13.37</v>
      </c>
      <c r="G28" s="2">
        <v>2</v>
      </c>
      <c r="H28">
        <f t="shared" si="0"/>
        <v>1</v>
      </c>
      <c r="I28">
        <f t="shared" si="1"/>
        <v>1</v>
      </c>
      <c r="J28">
        <f t="shared" si="2"/>
        <v>3</v>
      </c>
      <c r="K28">
        <f t="shared" si="3"/>
        <v>1</v>
      </c>
    </row>
    <row r="29" spans="1:11" x14ac:dyDescent="0.35">
      <c r="A29" s="2" t="s">
        <v>9</v>
      </c>
      <c r="B29" s="2" t="s">
        <v>6</v>
      </c>
      <c r="C29" s="2" t="s">
        <v>19</v>
      </c>
      <c r="D29" s="2" t="s">
        <v>8</v>
      </c>
      <c r="E29" s="2">
        <v>2</v>
      </c>
      <c r="F29" s="2">
        <v>12.69</v>
      </c>
      <c r="G29" s="2">
        <v>2</v>
      </c>
      <c r="H29">
        <f t="shared" si="0"/>
        <v>1</v>
      </c>
      <c r="I29">
        <f t="shared" si="1"/>
        <v>1</v>
      </c>
      <c r="J29">
        <f t="shared" si="2"/>
        <v>3</v>
      </c>
      <c r="K29">
        <f t="shared" si="3"/>
        <v>1</v>
      </c>
    </row>
    <row r="30" spans="1:11" x14ac:dyDescent="0.35">
      <c r="A30" s="2" t="s">
        <v>9</v>
      </c>
      <c r="B30" s="2" t="s">
        <v>6</v>
      </c>
      <c r="C30" s="2" t="s">
        <v>19</v>
      </c>
      <c r="D30" s="2" t="s">
        <v>8</v>
      </c>
      <c r="E30" s="2">
        <v>2</v>
      </c>
      <c r="F30" s="2">
        <v>21.7</v>
      </c>
      <c r="G30" s="2">
        <v>4.3</v>
      </c>
      <c r="H30">
        <f t="shared" si="0"/>
        <v>1</v>
      </c>
      <c r="I30">
        <f t="shared" si="1"/>
        <v>1</v>
      </c>
      <c r="J30">
        <f t="shared" si="2"/>
        <v>3</v>
      </c>
      <c r="K30">
        <f t="shared" si="3"/>
        <v>1</v>
      </c>
    </row>
    <row r="31" spans="1:11" x14ac:dyDescent="0.35">
      <c r="A31" s="2" t="s">
        <v>5</v>
      </c>
      <c r="B31" s="2" t="s">
        <v>6</v>
      </c>
      <c r="C31" s="2" t="s">
        <v>19</v>
      </c>
      <c r="D31" s="2" t="s">
        <v>8</v>
      </c>
      <c r="E31" s="2">
        <v>2</v>
      </c>
      <c r="F31" s="2">
        <v>19.649999999999999</v>
      </c>
      <c r="G31" s="2">
        <v>3</v>
      </c>
      <c r="H31">
        <f t="shared" si="0"/>
        <v>0</v>
      </c>
      <c r="I31">
        <f t="shared" si="1"/>
        <v>1</v>
      </c>
      <c r="J31">
        <f t="shared" si="2"/>
        <v>3</v>
      </c>
      <c r="K31">
        <f t="shared" si="3"/>
        <v>1</v>
      </c>
    </row>
    <row r="32" spans="1:11" x14ac:dyDescent="0.35">
      <c r="A32" s="2" t="s">
        <v>9</v>
      </c>
      <c r="B32" s="2" t="s">
        <v>6</v>
      </c>
      <c r="C32" s="2" t="s">
        <v>19</v>
      </c>
      <c r="D32" s="2" t="s">
        <v>8</v>
      </c>
      <c r="E32" s="2">
        <v>2</v>
      </c>
      <c r="F32" s="2">
        <v>9.5500000000000007</v>
      </c>
      <c r="G32" s="2">
        <v>1.45</v>
      </c>
      <c r="H32">
        <f t="shared" si="0"/>
        <v>1</v>
      </c>
      <c r="I32">
        <f t="shared" si="1"/>
        <v>1</v>
      </c>
      <c r="J32">
        <f t="shared" si="2"/>
        <v>3</v>
      </c>
      <c r="K32">
        <f t="shared" si="3"/>
        <v>1</v>
      </c>
    </row>
    <row r="33" spans="1:11" x14ac:dyDescent="0.35">
      <c r="A33" s="2" t="s">
        <v>9</v>
      </c>
      <c r="B33" s="2" t="s">
        <v>6</v>
      </c>
      <c r="C33" s="2" t="s">
        <v>19</v>
      </c>
      <c r="D33" s="2" t="s">
        <v>8</v>
      </c>
      <c r="E33" s="2">
        <v>4</v>
      </c>
      <c r="F33" s="2">
        <v>18.350000000000001</v>
      </c>
      <c r="G33" s="2">
        <v>2.5</v>
      </c>
      <c r="H33">
        <f t="shared" si="0"/>
        <v>1</v>
      </c>
      <c r="I33">
        <f t="shared" si="1"/>
        <v>1</v>
      </c>
      <c r="J33">
        <f t="shared" si="2"/>
        <v>3</v>
      </c>
      <c r="K33">
        <f t="shared" si="3"/>
        <v>1</v>
      </c>
    </row>
    <row r="34" spans="1:11" x14ac:dyDescent="0.35">
      <c r="A34" s="2" t="s">
        <v>5</v>
      </c>
      <c r="B34" s="2" t="s">
        <v>6</v>
      </c>
      <c r="C34" s="2" t="s">
        <v>19</v>
      </c>
      <c r="D34" s="2" t="s">
        <v>8</v>
      </c>
      <c r="E34" s="2">
        <v>2</v>
      </c>
      <c r="F34" s="2">
        <v>15.06</v>
      </c>
      <c r="G34" s="2">
        <v>3</v>
      </c>
      <c r="H34">
        <f t="shared" si="0"/>
        <v>0</v>
      </c>
      <c r="I34">
        <f t="shared" si="1"/>
        <v>1</v>
      </c>
      <c r="J34">
        <f t="shared" si="2"/>
        <v>3</v>
      </c>
      <c r="K34">
        <f t="shared" si="3"/>
        <v>1</v>
      </c>
    </row>
    <row r="35" spans="1:11" x14ac:dyDescent="0.35">
      <c r="A35" s="2" t="s">
        <v>5</v>
      </c>
      <c r="B35" s="2" t="s">
        <v>6</v>
      </c>
      <c r="C35" s="2" t="s">
        <v>19</v>
      </c>
      <c r="D35" s="2" t="s">
        <v>8</v>
      </c>
      <c r="E35" s="2">
        <v>4</v>
      </c>
      <c r="F35" s="2">
        <v>20.69</v>
      </c>
      <c r="G35" s="2">
        <v>2.4500000000000002</v>
      </c>
      <c r="H35">
        <f t="shared" si="0"/>
        <v>0</v>
      </c>
      <c r="I35">
        <f t="shared" si="1"/>
        <v>1</v>
      </c>
      <c r="J35">
        <f t="shared" si="2"/>
        <v>3</v>
      </c>
      <c r="K35">
        <f t="shared" si="3"/>
        <v>1</v>
      </c>
    </row>
    <row r="36" spans="1:11" x14ac:dyDescent="0.35">
      <c r="A36" s="2" t="s">
        <v>9</v>
      </c>
      <c r="B36" s="2" t="s">
        <v>6</v>
      </c>
      <c r="C36" s="2" t="s">
        <v>19</v>
      </c>
      <c r="D36" s="2" t="s">
        <v>8</v>
      </c>
      <c r="E36" s="2">
        <v>2</v>
      </c>
      <c r="F36" s="2">
        <v>17.78</v>
      </c>
      <c r="G36" s="2">
        <v>3.27</v>
      </c>
      <c r="H36">
        <f t="shared" si="0"/>
        <v>1</v>
      </c>
      <c r="I36">
        <f t="shared" si="1"/>
        <v>1</v>
      </c>
      <c r="J36">
        <f t="shared" si="2"/>
        <v>3</v>
      </c>
      <c r="K36">
        <f t="shared" si="3"/>
        <v>1</v>
      </c>
    </row>
    <row r="37" spans="1:11" x14ac:dyDescent="0.35">
      <c r="A37" s="2" t="s">
        <v>9</v>
      </c>
      <c r="B37" s="2" t="s">
        <v>6</v>
      </c>
      <c r="C37" s="2" t="s">
        <v>19</v>
      </c>
      <c r="D37" s="2" t="s">
        <v>8</v>
      </c>
      <c r="E37" s="2">
        <v>3</v>
      </c>
      <c r="F37" s="2">
        <v>24.06</v>
      </c>
      <c r="G37" s="2">
        <v>3.6</v>
      </c>
      <c r="H37">
        <f t="shared" si="0"/>
        <v>1</v>
      </c>
      <c r="I37">
        <f t="shared" si="1"/>
        <v>1</v>
      </c>
      <c r="J37">
        <f t="shared" si="2"/>
        <v>3</v>
      </c>
      <c r="K37">
        <f t="shared" si="3"/>
        <v>1</v>
      </c>
    </row>
    <row r="38" spans="1:11" x14ac:dyDescent="0.35">
      <c r="A38" s="2" t="s">
        <v>9</v>
      </c>
      <c r="B38" s="2" t="s">
        <v>6</v>
      </c>
      <c r="C38" s="2" t="s">
        <v>19</v>
      </c>
      <c r="D38" s="2" t="s">
        <v>8</v>
      </c>
      <c r="E38" s="2">
        <v>3</v>
      </c>
      <c r="F38" s="2">
        <v>16.309999999999999</v>
      </c>
      <c r="G38" s="2">
        <v>2</v>
      </c>
      <c r="H38">
        <f t="shared" si="0"/>
        <v>1</v>
      </c>
      <c r="I38">
        <f t="shared" si="1"/>
        <v>1</v>
      </c>
      <c r="J38">
        <f t="shared" si="2"/>
        <v>3</v>
      </c>
      <c r="K38">
        <f t="shared" si="3"/>
        <v>1</v>
      </c>
    </row>
    <row r="39" spans="1:11" x14ac:dyDescent="0.35">
      <c r="A39" s="2" t="s">
        <v>5</v>
      </c>
      <c r="B39" s="2" t="s">
        <v>6</v>
      </c>
      <c r="C39" s="2" t="s">
        <v>19</v>
      </c>
      <c r="D39" s="2" t="s">
        <v>8</v>
      </c>
      <c r="E39" s="2">
        <v>3</v>
      </c>
      <c r="F39" s="2">
        <v>16.93</v>
      </c>
      <c r="G39" s="2">
        <v>3.07</v>
      </c>
      <c r="H39">
        <f t="shared" si="0"/>
        <v>0</v>
      </c>
      <c r="I39">
        <f t="shared" si="1"/>
        <v>1</v>
      </c>
      <c r="J39">
        <f t="shared" si="2"/>
        <v>3</v>
      </c>
      <c r="K39">
        <f t="shared" si="3"/>
        <v>1</v>
      </c>
    </row>
    <row r="40" spans="1:11" x14ac:dyDescent="0.35">
      <c r="A40" s="2" t="s">
        <v>9</v>
      </c>
      <c r="B40" s="2" t="s">
        <v>6</v>
      </c>
      <c r="C40" s="2" t="s">
        <v>19</v>
      </c>
      <c r="D40" s="2" t="s">
        <v>8</v>
      </c>
      <c r="E40" s="2">
        <v>3</v>
      </c>
      <c r="F40" s="2">
        <v>18.690000000000001</v>
      </c>
      <c r="G40" s="2">
        <v>2.31</v>
      </c>
      <c r="H40">
        <f t="shared" si="0"/>
        <v>1</v>
      </c>
      <c r="I40">
        <f t="shared" si="1"/>
        <v>1</v>
      </c>
      <c r="J40">
        <f t="shared" si="2"/>
        <v>3</v>
      </c>
      <c r="K40">
        <f t="shared" si="3"/>
        <v>1</v>
      </c>
    </row>
    <row r="41" spans="1:11" x14ac:dyDescent="0.35">
      <c r="A41" s="2" t="s">
        <v>9</v>
      </c>
      <c r="B41" s="2" t="s">
        <v>6</v>
      </c>
      <c r="C41" s="2" t="s">
        <v>19</v>
      </c>
      <c r="D41" s="2" t="s">
        <v>8</v>
      </c>
      <c r="E41" s="2">
        <v>3</v>
      </c>
      <c r="F41" s="2">
        <v>31.27</v>
      </c>
      <c r="G41" s="2">
        <v>5</v>
      </c>
      <c r="H41">
        <f t="shared" si="0"/>
        <v>1</v>
      </c>
      <c r="I41">
        <f t="shared" si="1"/>
        <v>1</v>
      </c>
      <c r="J41">
        <f t="shared" si="2"/>
        <v>3</v>
      </c>
      <c r="K41">
        <f t="shared" si="3"/>
        <v>1</v>
      </c>
    </row>
    <row r="42" spans="1:11" x14ac:dyDescent="0.35">
      <c r="A42" s="2" t="s">
        <v>9</v>
      </c>
      <c r="B42" s="2" t="s">
        <v>6</v>
      </c>
      <c r="C42" s="2" t="s">
        <v>19</v>
      </c>
      <c r="D42" s="2" t="s">
        <v>8</v>
      </c>
      <c r="E42" s="2">
        <v>3</v>
      </c>
      <c r="F42" s="2">
        <v>16.04</v>
      </c>
      <c r="G42" s="2">
        <v>2.2400000000000002</v>
      </c>
      <c r="H42">
        <f t="shared" si="0"/>
        <v>1</v>
      </c>
      <c r="I42">
        <f t="shared" si="1"/>
        <v>1</v>
      </c>
      <c r="J42">
        <f t="shared" si="2"/>
        <v>3</v>
      </c>
      <c r="K42">
        <f t="shared" si="3"/>
        <v>1</v>
      </c>
    </row>
    <row r="43" spans="1:11" x14ac:dyDescent="0.35">
      <c r="A43" s="2" t="s">
        <v>9</v>
      </c>
      <c r="B43" s="2" t="s">
        <v>6</v>
      </c>
      <c r="C43" s="2" t="s">
        <v>7</v>
      </c>
      <c r="D43" s="2" t="s">
        <v>8</v>
      </c>
      <c r="E43" s="2">
        <v>2</v>
      </c>
      <c r="F43" s="2">
        <v>17.46</v>
      </c>
      <c r="G43" s="2">
        <v>2.54</v>
      </c>
      <c r="H43">
        <f t="shared" si="0"/>
        <v>1</v>
      </c>
      <c r="I43">
        <f t="shared" si="1"/>
        <v>1</v>
      </c>
      <c r="J43">
        <f t="shared" si="2"/>
        <v>4</v>
      </c>
      <c r="K43">
        <f t="shared" si="3"/>
        <v>1</v>
      </c>
    </row>
    <row r="44" spans="1:11" x14ac:dyDescent="0.35">
      <c r="A44" s="2" t="s">
        <v>9</v>
      </c>
      <c r="B44" s="2" t="s">
        <v>6</v>
      </c>
      <c r="C44" s="2" t="s">
        <v>7</v>
      </c>
      <c r="D44" s="2" t="s">
        <v>8</v>
      </c>
      <c r="E44" s="2">
        <v>2</v>
      </c>
      <c r="F44" s="2">
        <v>13.94</v>
      </c>
      <c r="G44" s="2">
        <v>3.06</v>
      </c>
      <c r="H44">
        <f t="shared" si="0"/>
        <v>1</v>
      </c>
      <c r="I44">
        <f t="shared" si="1"/>
        <v>1</v>
      </c>
      <c r="J44">
        <f t="shared" si="2"/>
        <v>4</v>
      </c>
      <c r="K44">
        <f t="shared" si="3"/>
        <v>1</v>
      </c>
    </row>
    <row r="45" spans="1:11" x14ac:dyDescent="0.35">
      <c r="A45" s="2" t="s">
        <v>9</v>
      </c>
      <c r="B45" s="2" t="s">
        <v>6</v>
      </c>
      <c r="C45" s="2" t="s">
        <v>7</v>
      </c>
      <c r="D45" s="2" t="s">
        <v>8</v>
      </c>
      <c r="E45" s="2">
        <v>2</v>
      </c>
      <c r="F45" s="2">
        <v>9.68</v>
      </c>
      <c r="G45" s="2">
        <v>1.32</v>
      </c>
      <c r="H45">
        <f t="shared" si="0"/>
        <v>1</v>
      </c>
      <c r="I45">
        <f t="shared" si="1"/>
        <v>1</v>
      </c>
      <c r="J45">
        <f t="shared" si="2"/>
        <v>4</v>
      </c>
      <c r="K45">
        <f t="shared" si="3"/>
        <v>1</v>
      </c>
    </row>
    <row r="46" spans="1:11" x14ac:dyDescent="0.35">
      <c r="A46" s="2" t="s">
        <v>9</v>
      </c>
      <c r="B46" s="2" t="s">
        <v>6</v>
      </c>
      <c r="C46" s="2" t="s">
        <v>7</v>
      </c>
      <c r="D46" s="2" t="s">
        <v>8</v>
      </c>
      <c r="E46" s="2">
        <v>4</v>
      </c>
      <c r="F46" s="2">
        <v>30.4</v>
      </c>
      <c r="G46" s="2">
        <v>5.6</v>
      </c>
      <c r="H46">
        <f t="shared" si="0"/>
        <v>1</v>
      </c>
      <c r="I46">
        <f t="shared" si="1"/>
        <v>1</v>
      </c>
      <c r="J46">
        <f t="shared" si="2"/>
        <v>4</v>
      </c>
      <c r="K46">
        <f t="shared" si="3"/>
        <v>1</v>
      </c>
    </row>
    <row r="47" spans="1:11" x14ac:dyDescent="0.35">
      <c r="A47" s="2" t="s">
        <v>9</v>
      </c>
      <c r="B47" s="2" t="s">
        <v>6</v>
      </c>
      <c r="C47" s="2" t="s">
        <v>7</v>
      </c>
      <c r="D47" s="2" t="s">
        <v>8</v>
      </c>
      <c r="E47" s="2">
        <v>2</v>
      </c>
      <c r="F47" s="2">
        <v>18.29</v>
      </c>
      <c r="G47" s="2">
        <v>3</v>
      </c>
      <c r="H47">
        <f t="shared" si="0"/>
        <v>1</v>
      </c>
      <c r="I47">
        <f t="shared" si="1"/>
        <v>1</v>
      </c>
      <c r="J47">
        <f t="shared" si="2"/>
        <v>4</v>
      </c>
      <c r="K47">
        <f t="shared" si="3"/>
        <v>1</v>
      </c>
    </row>
    <row r="48" spans="1:11" x14ac:dyDescent="0.35">
      <c r="A48" s="2" t="s">
        <v>9</v>
      </c>
      <c r="B48" s="2" t="s">
        <v>6</v>
      </c>
      <c r="C48" s="2" t="s">
        <v>7</v>
      </c>
      <c r="D48" s="2" t="s">
        <v>8</v>
      </c>
      <c r="E48" s="2">
        <v>2</v>
      </c>
      <c r="F48" s="2">
        <v>22.23</v>
      </c>
      <c r="G48" s="2">
        <v>5</v>
      </c>
      <c r="H48">
        <f t="shared" si="0"/>
        <v>1</v>
      </c>
      <c r="I48">
        <f t="shared" si="1"/>
        <v>1</v>
      </c>
      <c r="J48">
        <f t="shared" si="2"/>
        <v>4</v>
      </c>
      <c r="K48">
        <f t="shared" si="3"/>
        <v>1</v>
      </c>
    </row>
    <row r="49" spans="1:11" x14ac:dyDescent="0.35">
      <c r="A49" s="2" t="s">
        <v>9</v>
      </c>
      <c r="B49" s="2" t="s">
        <v>6</v>
      </c>
      <c r="C49" s="2" t="s">
        <v>7</v>
      </c>
      <c r="D49" s="2" t="s">
        <v>8</v>
      </c>
      <c r="E49" s="2">
        <v>4</v>
      </c>
      <c r="F49" s="2">
        <v>32.4</v>
      </c>
      <c r="G49" s="2">
        <v>6</v>
      </c>
      <c r="H49">
        <f t="shared" si="0"/>
        <v>1</v>
      </c>
      <c r="I49">
        <f t="shared" si="1"/>
        <v>1</v>
      </c>
      <c r="J49">
        <f t="shared" si="2"/>
        <v>4</v>
      </c>
      <c r="K49">
        <f t="shared" si="3"/>
        <v>1</v>
      </c>
    </row>
    <row r="50" spans="1:11" x14ac:dyDescent="0.35">
      <c r="A50" s="2" t="s">
        <v>9</v>
      </c>
      <c r="B50" s="2" t="s">
        <v>6</v>
      </c>
      <c r="C50" s="2" t="s">
        <v>7</v>
      </c>
      <c r="D50" s="2" t="s">
        <v>8</v>
      </c>
      <c r="E50" s="2">
        <v>3</v>
      </c>
      <c r="F50" s="2">
        <v>28.55</v>
      </c>
      <c r="G50" s="2">
        <v>2.0499999999999998</v>
      </c>
      <c r="H50">
        <f t="shared" si="0"/>
        <v>1</v>
      </c>
      <c r="I50">
        <f t="shared" si="1"/>
        <v>1</v>
      </c>
      <c r="J50">
        <f t="shared" si="2"/>
        <v>4</v>
      </c>
      <c r="K50">
        <f t="shared" si="3"/>
        <v>1</v>
      </c>
    </row>
    <row r="51" spans="1:11" x14ac:dyDescent="0.35">
      <c r="A51" s="2" t="s">
        <v>9</v>
      </c>
      <c r="B51" s="2" t="s">
        <v>6</v>
      </c>
      <c r="C51" s="2" t="s">
        <v>7</v>
      </c>
      <c r="D51" s="2" t="s">
        <v>8</v>
      </c>
      <c r="E51" s="2">
        <v>2</v>
      </c>
      <c r="F51" s="2">
        <v>18.04</v>
      </c>
      <c r="G51" s="2">
        <v>3</v>
      </c>
      <c r="H51">
        <f t="shared" si="0"/>
        <v>1</v>
      </c>
      <c r="I51">
        <f t="shared" si="1"/>
        <v>1</v>
      </c>
      <c r="J51">
        <f t="shared" si="2"/>
        <v>4</v>
      </c>
      <c r="K51">
        <f t="shared" si="3"/>
        <v>1</v>
      </c>
    </row>
    <row r="52" spans="1:11" x14ac:dyDescent="0.35">
      <c r="A52" s="2" t="s">
        <v>9</v>
      </c>
      <c r="B52" s="2" t="s">
        <v>6</v>
      </c>
      <c r="C52" s="2" t="s">
        <v>7</v>
      </c>
      <c r="D52" s="2" t="s">
        <v>8</v>
      </c>
      <c r="E52" s="2">
        <v>2</v>
      </c>
      <c r="F52" s="2">
        <v>12.54</v>
      </c>
      <c r="G52" s="2">
        <v>2.5</v>
      </c>
      <c r="H52">
        <f t="shared" si="0"/>
        <v>1</v>
      </c>
      <c r="I52">
        <f t="shared" si="1"/>
        <v>1</v>
      </c>
      <c r="J52">
        <f t="shared" si="2"/>
        <v>4</v>
      </c>
      <c r="K52">
        <f t="shared" si="3"/>
        <v>1</v>
      </c>
    </row>
    <row r="53" spans="1:11" x14ac:dyDescent="0.35">
      <c r="A53" s="2" t="s">
        <v>5</v>
      </c>
      <c r="B53" s="2" t="s">
        <v>6</v>
      </c>
      <c r="C53" s="2" t="s">
        <v>7</v>
      </c>
      <c r="D53" s="2" t="s">
        <v>8</v>
      </c>
      <c r="E53" s="2">
        <v>2</v>
      </c>
      <c r="F53" s="2">
        <v>10.29</v>
      </c>
      <c r="G53" s="2">
        <v>2.6</v>
      </c>
      <c r="H53">
        <f t="shared" si="0"/>
        <v>0</v>
      </c>
      <c r="I53">
        <f t="shared" si="1"/>
        <v>1</v>
      </c>
      <c r="J53">
        <f t="shared" si="2"/>
        <v>4</v>
      </c>
      <c r="K53">
        <f t="shared" si="3"/>
        <v>1</v>
      </c>
    </row>
    <row r="54" spans="1:11" x14ac:dyDescent="0.35">
      <c r="A54" s="2" t="s">
        <v>5</v>
      </c>
      <c r="B54" s="2" t="s">
        <v>6</v>
      </c>
      <c r="C54" s="2" t="s">
        <v>7</v>
      </c>
      <c r="D54" s="2" t="s">
        <v>8</v>
      </c>
      <c r="E54" s="2">
        <v>4</v>
      </c>
      <c r="F54" s="2">
        <v>34.81</v>
      </c>
      <c r="G54" s="2">
        <v>5.2</v>
      </c>
      <c r="H54">
        <f t="shared" si="0"/>
        <v>0</v>
      </c>
      <c r="I54">
        <f t="shared" si="1"/>
        <v>1</v>
      </c>
      <c r="J54">
        <f t="shared" si="2"/>
        <v>4</v>
      </c>
      <c r="K54">
        <f t="shared" si="3"/>
        <v>1</v>
      </c>
    </row>
    <row r="55" spans="1:11" x14ac:dyDescent="0.35">
      <c r="A55" s="2" t="s">
        <v>9</v>
      </c>
      <c r="B55" s="2" t="s">
        <v>6</v>
      </c>
      <c r="C55" s="2" t="s">
        <v>7</v>
      </c>
      <c r="D55" s="2" t="s">
        <v>8</v>
      </c>
      <c r="E55" s="2">
        <v>2</v>
      </c>
      <c r="F55" s="2">
        <v>9.94</v>
      </c>
      <c r="G55" s="2">
        <v>1.56</v>
      </c>
      <c r="H55">
        <f t="shared" si="0"/>
        <v>1</v>
      </c>
      <c r="I55">
        <f t="shared" si="1"/>
        <v>1</v>
      </c>
      <c r="J55">
        <f t="shared" si="2"/>
        <v>4</v>
      </c>
      <c r="K55">
        <f t="shared" si="3"/>
        <v>1</v>
      </c>
    </row>
    <row r="56" spans="1:11" x14ac:dyDescent="0.35">
      <c r="A56" s="2" t="s">
        <v>9</v>
      </c>
      <c r="B56" s="2" t="s">
        <v>6</v>
      </c>
      <c r="C56" s="2" t="s">
        <v>7</v>
      </c>
      <c r="D56" s="2" t="s">
        <v>8</v>
      </c>
      <c r="E56" s="2">
        <v>4</v>
      </c>
      <c r="F56" s="2">
        <v>25.56</v>
      </c>
      <c r="G56" s="2">
        <v>4.34</v>
      </c>
      <c r="H56">
        <f t="shared" si="0"/>
        <v>1</v>
      </c>
      <c r="I56">
        <f t="shared" si="1"/>
        <v>1</v>
      </c>
      <c r="J56">
        <f t="shared" si="2"/>
        <v>4</v>
      </c>
      <c r="K56">
        <f t="shared" si="3"/>
        <v>1</v>
      </c>
    </row>
    <row r="57" spans="1:11" x14ac:dyDescent="0.35">
      <c r="A57" s="2" t="s">
        <v>9</v>
      </c>
      <c r="B57" s="2" t="s">
        <v>6</v>
      </c>
      <c r="C57" s="2" t="s">
        <v>7</v>
      </c>
      <c r="D57" s="2" t="s">
        <v>8</v>
      </c>
      <c r="E57" s="2">
        <v>2</v>
      </c>
      <c r="F57" s="2">
        <v>19.489999999999998</v>
      </c>
      <c r="G57" s="2">
        <v>3.51</v>
      </c>
      <c r="H57">
        <f t="shared" si="0"/>
        <v>1</v>
      </c>
      <c r="I57">
        <f t="shared" si="1"/>
        <v>1</v>
      </c>
      <c r="J57">
        <f t="shared" si="2"/>
        <v>4</v>
      </c>
      <c r="K57">
        <f t="shared" si="3"/>
        <v>1</v>
      </c>
    </row>
    <row r="58" spans="1:11" x14ac:dyDescent="0.35">
      <c r="A58" s="2" t="s">
        <v>9</v>
      </c>
      <c r="B58" s="2" t="s">
        <v>20</v>
      </c>
      <c r="C58" s="2" t="s">
        <v>19</v>
      </c>
      <c r="D58" s="2" t="s">
        <v>8</v>
      </c>
      <c r="E58" s="2">
        <v>4</v>
      </c>
      <c r="F58" s="2">
        <v>38.01</v>
      </c>
      <c r="G58" s="2">
        <v>3</v>
      </c>
      <c r="H58">
        <f t="shared" si="0"/>
        <v>1</v>
      </c>
      <c r="I58">
        <f t="shared" si="1"/>
        <v>0</v>
      </c>
      <c r="J58">
        <f t="shared" si="2"/>
        <v>3</v>
      </c>
      <c r="K58">
        <f t="shared" si="3"/>
        <v>1</v>
      </c>
    </row>
    <row r="59" spans="1:11" x14ac:dyDescent="0.35">
      <c r="A59" s="2" t="s">
        <v>5</v>
      </c>
      <c r="B59" s="2" t="s">
        <v>6</v>
      </c>
      <c r="C59" s="2" t="s">
        <v>19</v>
      </c>
      <c r="D59" s="2" t="s">
        <v>8</v>
      </c>
      <c r="E59" s="2">
        <v>2</v>
      </c>
      <c r="F59" s="2">
        <v>26.41</v>
      </c>
      <c r="G59" s="2">
        <v>1.5</v>
      </c>
      <c r="H59">
        <f t="shared" si="0"/>
        <v>0</v>
      </c>
      <c r="I59">
        <f t="shared" si="1"/>
        <v>1</v>
      </c>
      <c r="J59">
        <f t="shared" si="2"/>
        <v>3</v>
      </c>
      <c r="K59">
        <f t="shared" si="3"/>
        <v>1</v>
      </c>
    </row>
    <row r="60" spans="1:11" x14ac:dyDescent="0.35">
      <c r="A60" s="2" t="s">
        <v>9</v>
      </c>
      <c r="B60" s="2" t="s">
        <v>20</v>
      </c>
      <c r="C60" s="2" t="s">
        <v>19</v>
      </c>
      <c r="D60" s="2" t="s">
        <v>8</v>
      </c>
      <c r="E60" s="2">
        <v>2</v>
      </c>
      <c r="F60" s="2">
        <v>11.24</v>
      </c>
      <c r="G60" s="2">
        <v>1.76</v>
      </c>
      <c r="H60">
        <f t="shared" si="0"/>
        <v>1</v>
      </c>
      <c r="I60">
        <f t="shared" si="1"/>
        <v>0</v>
      </c>
      <c r="J60">
        <f t="shared" si="2"/>
        <v>3</v>
      </c>
      <c r="K60">
        <f t="shared" si="3"/>
        <v>1</v>
      </c>
    </row>
    <row r="61" spans="1:11" x14ac:dyDescent="0.35">
      <c r="A61" s="2" t="s">
        <v>9</v>
      </c>
      <c r="B61" s="2" t="s">
        <v>6</v>
      </c>
      <c r="C61" s="2" t="s">
        <v>19</v>
      </c>
      <c r="D61" s="2" t="s">
        <v>8</v>
      </c>
      <c r="E61" s="2">
        <v>4</v>
      </c>
      <c r="F61" s="2">
        <v>48.27</v>
      </c>
      <c r="G61" s="2">
        <v>6.73</v>
      </c>
      <c r="H61">
        <f t="shared" si="0"/>
        <v>1</v>
      </c>
      <c r="I61">
        <f t="shared" si="1"/>
        <v>1</v>
      </c>
      <c r="J61">
        <f t="shared" si="2"/>
        <v>3</v>
      </c>
      <c r="K61">
        <f t="shared" si="3"/>
        <v>1</v>
      </c>
    </row>
    <row r="62" spans="1:11" x14ac:dyDescent="0.35">
      <c r="A62" s="2" t="s">
        <v>9</v>
      </c>
      <c r="B62" s="2" t="s">
        <v>20</v>
      </c>
      <c r="C62" s="2" t="s">
        <v>19</v>
      </c>
      <c r="D62" s="2" t="s">
        <v>8</v>
      </c>
      <c r="E62" s="2">
        <v>2</v>
      </c>
      <c r="F62" s="2">
        <v>20.29</v>
      </c>
      <c r="G62" s="2">
        <v>3.21</v>
      </c>
      <c r="H62">
        <f t="shared" si="0"/>
        <v>1</v>
      </c>
      <c r="I62">
        <f t="shared" si="1"/>
        <v>0</v>
      </c>
      <c r="J62">
        <f t="shared" si="2"/>
        <v>3</v>
      </c>
      <c r="K62">
        <f t="shared" si="3"/>
        <v>1</v>
      </c>
    </row>
    <row r="63" spans="1:11" x14ac:dyDescent="0.35">
      <c r="A63" s="2" t="s">
        <v>9</v>
      </c>
      <c r="B63" s="2" t="s">
        <v>20</v>
      </c>
      <c r="C63" s="2" t="s">
        <v>19</v>
      </c>
      <c r="D63" s="2" t="s">
        <v>8</v>
      </c>
      <c r="E63" s="2">
        <v>2</v>
      </c>
      <c r="F63" s="2">
        <v>13.81</v>
      </c>
      <c r="G63" s="2">
        <v>2</v>
      </c>
      <c r="H63">
        <f t="shared" si="0"/>
        <v>1</v>
      </c>
      <c r="I63">
        <f t="shared" si="1"/>
        <v>0</v>
      </c>
      <c r="J63">
        <f t="shared" si="2"/>
        <v>3</v>
      </c>
      <c r="K63">
        <f t="shared" si="3"/>
        <v>1</v>
      </c>
    </row>
    <row r="64" spans="1:11" x14ac:dyDescent="0.35">
      <c r="A64" s="2" t="s">
        <v>9</v>
      </c>
      <c r="B64" s="2" t="s">
        <v>20</v>
      </c>
      <c r="C64" s="2" t="s">
        <v>19</v>
      </c>
      <c r="D64" s="2" t="s">
        <v>8</v>
      </c>
      <c r="E64" s="2">
        <v>2</v>
      </c>
      <c r="F64" s="2">
        <v>11.02</v>
      </c>
      <c r="G64" s="2">
        <v>1.98</v>
      </c>
      <c r="H64">
        <f t="shared" si="0"/>
        <v>1</v>
      </c>
      <c r="I64">
        <f t="shared" si="1"/>
        <v>0</v>
      </c>
      <c r="J64">
        <f t="shared" si="2"/>
        <v>3</v>
      </c>
      <c r="K64">
        <f t="shared" si="3"/>
        <v>1</v>
      </c>
    </row>
    <row r="65" spans="1:11" x14ac:dyDescent="0.35">
      <c r="A65" s="2" t="s">
        <v>9</v>
      </c>
      <c r="B65" s="2" t="s">
        <v>20</v>
      </c>
      <c r="C65" s="2" t="s">
        <v>19</v>
      </c>
      <c r="D65" s="2" t="s">
        <v>8</v>
      </c>
      <c r="E65" s="2">
        <v>4</v>
      </c>
      <c r="F65" s="2">
        <v>18.29</v>
      </c>
      <c r="G65" s="2">
        <v>3.76</v>
      </c>
      <c r="H65">
        <f t="shared" si="0"/>
        <v>1</v>
      </c>
      <c r="I65">
        <f t="shared" si="1"/>
        <v>0</v>
      </c>
      <c r="J65">
        <f t="shared" si="2"/>
        <v>3</v>
      </c>
      <c r="K65">
        <f t="shared" si="3"/>
        <v>1</v>
      </c>
    </row>
    <row r="66" spans="1:11" x14ac:dyDescent="0.35">
      <c r="A66" s="2" t="s">
        <v>9</v>
      </c>
      <c r="B66" s="2" t="s">
        <v>6</v>
      </c>
      <c r="C66" s="2" t="s">
        <v>19</v>
      </c>
      <c r="D66" s="2" t="s">
        <v>8</v>
      </c>
      <c r="E66" s="2">
        <v>3</v>
      </c>
      <c r="F66" s="2">
        <v>17.59</v>
      </c>
      <c r="G66" s="2">
        <v>2.64</v>
      </c>
      <c r="H66">
        <f t="shared" si="0"/>
        <v>1</v>
      </c>
      <c r="I66">
        <f t="shared" si="1"/>
        <v>1</v>
      </c>
      <c r="J66">
        <f t="shared" si="2"/>
        <v>3</v>
      </c>
      <c r="K66">
        <f t="shared" si="3"/>
        <v>1</v>
      </c>
    </row>
    <row r="67" spans="1:11" x14ac:dyDescent="0.35">
      <c r="A67" s="2" t="s">
        <v>9</v>
      </c>
      <c r="B67" s="2" t="s">
        <v>6</v>
      </c>
      <c r="C67" s="2" t="s">
        <v>19</v>
      </c>
      <c r="D67" s="2" t="s">
        <v>8</v>
      </c>
      <c r="E67" s="2">
        <v>3</v>
      </c>
      <c r="F67" s="2">
        <v>20.079999999999998</v>
      </c>
      <c r="G67" s="2">
        <v>3.15</v>
      </c>
      <c r="H67">
        <f t="shared" ref="H67:H130" si="4">IF(A67="Male",1,0)</f>
        <v>1</v>
      </c>
      <c r="I67">
        <f t="shared" ref="I67:I130" si="5">IF(B67="No",1,0)</f>
        <v>1</v>
      </c>
      <c r="J67">
        <f t="shared" ref="J67:J130" si="6">IF(C67="Thur",1,IF(C67="Fri",2,IF(C67="Sat",3,4)))</f>
        <v>3</v>
      </c>
      <c r="K67">
        <f t="shared" ref="K67:K130" si="7">IF(D67="Dinner",1,0)</f>
        <v>1</v>
      </c>
    </row>
    <row r="68" spans="1:11" x14ac:dyDescent="0.35">
      <c r="A68" s="2" t="s">
        <v>5</v>
      </c>
      <c r="B68" s="2" t="s">
        <v>6</v>
      </c>
      <c r="C68" s="2" t="s">
        <v>19</v>
      </c>
      <c r="D68" s="2" t="s">
        <v>8</v>
      </c>
      <c r="E68" s="2">
        <v>2</v>
      </c>
      <c r="F68" s="2">
        <v>16.45</v>
      </c>
      <c r="G68" s="2">
        <v>2.4700000000000002</v>
      </c>
      <c r="H68">
        <f t="shared" si="4"/>
        <v>0</v>
      </c>
      <c r="I68">
        <f t="shared" si="5"/>
        <v>1</v>
      </c>
      <c r="J68">
        <f t="shared" si="6"/>
        <v>3</v>
      </c>
      <c r="K68">
        <f t="shared" si="7"/>
        <v>1</v>
      </c>
    </row>
    <row r="69" spans="1:11" x14ac:dyDescent="0.35">
      <c r="A69" s="2" t="s">
        <v>5</v>
      </c>
      <c r="B69" s="2" t="s">
        <v>20</v>
      </c>
      <c r="C69" s="2" t="s">
        <v>19</v>
      </c>
      <c r="D69" s="2" t="s">
        <v>8</v>
      </c>
      <c r="E69" s="2">
        <v>1</v>
      </c>
      <c r="F69" s="2">
        <v>3.07</v>
      </c>
      <c r="G69" s="2">
        <v>1</v>
      </c>
      <c r="H69">
        <f t="shared" si="4"/>
        <v>0</v>
      </c>
      <c r="I69">
        <f t="shared" si="5"/>
        <v>0</v>
      </c>
      <c r="J69">
        <f t="shared" si="6"/>
        <v>3</v>
      </c>
      <c r="K69">
        <f t="shared" si="7"/>
        <v>1</v>
      </c>
    </row>
    <row r="70" spans="1:11" x14ac:dyDescent="0.35">
      <c r="A70" s="2" t="s">
        <v>9</v>
      </c>
      <c r="B70" s="2" t="s">
        <v>6</v>
      </c>
      <c r="C70" s="2" t="s">
        <v>19</v>
      </c>
      <c r="D70" s="2" t="s">
        <v>8</v>
      </c>
      <c r="E70" s="2">
        <v>2</v>
      </c>
      <c r="F70" s="2">
        <v>20.23</v>
      </c>
      <c r="G70" s="2">
        <v>2.0099999999999998</v>
      </c>
      <c r="H70">
        <f t="shared" si="4"/>
        <v>1</v>
      </c>
      <c r="I70">
        <f t="shared" si="5"/>
        <v>1</v>
      </c>
      <c r="J70">
        <f t="shared" si="6"/>
        <v>3</v>
      </c>
      <c r="K70">
        <f t="shared" si="7"/>
        <v>1</v>
      </c>
    </row>
    <row r="71" spans="1:11" x14ac:dyDescent="0.35">
      <c r="A71" s="2" t="s">
        <v>9</v>
      </c>
      <c r="B71" s="2" t="s">
        <v>20</v>
      </c>
      <c r="C71" s="2" t="s">
        <v>19</v>
      </c>
      <c r="D71" s="2" t="s">
        <v>8</v>
      </c>
      <c r="E71" s="2">
        <v>2</v>
      </c>
      <c r="F71" s="2">
        <v>15.01</v>
      </c>
      <c r="G71" s="2">
        <v>2.09</v>
      </c>
      <c r="H71">
        <f t="shared" si="4"/>
        <v>1</v>
      </c>
      <c r="I71">
        <f t="shared" si="5"/>
        <v>0</v>
      </c>
      <c r="J71">
        <f t="shared" si="6"/>
        <v>3</v>
      </c>
      <c r="K71">
        <f t="shared" si="7"/>
        <v>1</v>
      </c>
    </row>
    <row r="72" spans="1:11" x14ac:dyDescent="0.35">
      <c r="A72" s="2" t="s">
        <v>9</v>
      </c>
      <c r="B72" s="2" t="s">
        <v>6</v>
      </c>
      <c r="C72" s="2" t="s">
        <v>19</v>
      </c>
      <c r="D72" s="2" t="s">
        <v>8</v>
      </c>
      <c r="E72" s="2">
        <v>2</v>
      </c>
      <c r="F72" s="2">
        <v>12.02</v>
      </c>
      <c r="G72" s="2">
        <v>1.97</v>
      </c>
      <c r="H72">
        <f t="shared" si="4"/>
        <v>1</v>
      </c>
      <c r="I72">
        <f t="shared" si="5"/>
        <v>1</v>
      </c>
      <c r="J72">
        <f t="shared" si="6"/>
        <v>3</v>
      </c>
      <c r="K72">
        <f t="shared" si="7"/>
        <v>1</v>
      </c>
    </row>
    <row r="73" spans="1:11" x14ac:dyDescent="0.35">
      <c r="A73" s="2" t="s">
        <v>5</v>
      </c>
      <c r="B73" s="2" t="s">
        <v>6</v>
      </c>
      <c r="C73" s="2" t="s">
        <v>19</v>
      </c>
      <c r="D73" s="2" t="s">
        <v>8</v>
      </c>
      <c r="E73" s="2">
        <v>3</v>
      </c>
      <c r="F73" s="2">
        <v>17.07</v>
      </c>
      <c r="G73" s="2">
        <v>3</v>
      </c>
      <c r="H73">
        <f t="shared" si="4"/>
        <v>0</v>
      </c>
      <c r="I73">
        <f t="shared" si="5"/>
        <v>1</v>
      </c>
      <c r="J73">
        <f t="shared" si="6"/>
        <v>3</v>
      </c>
      <c r="K73">
        <f t="shared" si="7"/>
        <v>1</v>
      </c>
    </row>
    <row r="74" spans="1:11" x14ac:dyDescent="0.35">
      <c r="A74" s="2" t="s">
        <v>5</v>
      </c>
      <c r="B74" s="2" t="s">
        <v>20</v>
      </c>
      <c r="C74" s="2" t="s">
        <v>19</v>
      </c>
      <c r="D74" s="2" t="s">
        <v>8</v>
      </c>
      <c r="E74" s="2">
        <v>2</v>
      </c>
      <c r="F74" s="2">
        <v>26.86</v>
      </c>
      <c r="G74" s="2">
        <v>3.14</v>
      </c>
      <c r="H74">
        <f t="shared" si="4"/>
        <v>0</v>
      </c>
      <c r="I74">
        <f t="shared" si="5"/>
        <v>0</v>
      </c>
      <c r="J74">
        <f t="shared" si="6"/>
        <v>3</v>
      </c>
      <c r="K74">
        <f t="shared" si="7"/>
        <v>1</v>
      </c>
    </row>
    <row r="75" spans="1:11" x14ac:dyDescent="0.35">
      <c r="A75" s="2" t="s">
        <v>5</v>
      </c>
      <c r="B75" s="2" t="s">
        <v>20</v>
      </c>
      <c r="C75" s="2" t="s">
        <v>19</v>
      </c>
      <c r="D75" s="2" t="s">
        <v>8</v>
      </c>
      <c r="E75" s="2">
        <v>2</v>
      </c>
      <c r="F75" s="2">
        <v>25.28</v>
      </c>
      <c r="G75" s="2">
        <v>5</v>
      </c>
      <c r="H75">
        <f t="shared" si="4"/>
        <v>0</v>
      </c>
      <c r="I75">
        <f t="shared" si="5"/>
        <v>0</v>
      </c>
      <c r="J75">
        <f t="shared" si="6"/>
        <v>3</v>
      </c>
      <c r="K75">
        <f t="shared" si="7"/>
        <v>1</v>
      </c>
    </row>
    <row r="76" spans="1:11" x14ac:dyDescent="0.35">
      <c r="A76" s="2" t="s">
        <v>5</v>
      </c>
      <c r="B76" s="2" t="s">
        <v>6</v>
      </c>
      <c r="C76" s="2" t="s">
        <v>19</v>
      </c>
      <c r="D76" s="2" t="s">
        <v>8</v>
      </c>
      <c r="E76" s="2">
        <v>2</v>
      </c>
      <c r="F76" s="2">
        <v>14.73</v>
      </c>
      <c r="G76" s="2">
        <v>2.2000000000000002</v>
      </c>
      <c r="H76">
        <f t="shared" si="4"/>
        <v>0</v>
      </c>
      <c r="I76">
        <f t="shared" si="5"/>
        <v>1</v>
      </c>
      <c r="J76">
        <f t="shared" si="6"/>
        <v>3</v>
      </c>
      <c r="K76">
        <f t="shared" si="7"/>
        <v>1</v>
      </c>
    </row>
    <row r="77" spans="1:11" x14ac:dyDescent="0.35">
      <c r="A77" s="2" t="s">
        <v>9</v>
      </c>
      <c r="B77" s="2" t="s">
        <v>6</v>
      </c>
      <c r="C77" s="2" t="s">
        <v>19</v>
      </c>
      <c r="D77" s="2" t="s">
        <v>8</v>
      </c>
      <c r="E77" s="2">
        <v>2</v>
      </c>
      <c r="F77" s="2">
        <v>10.51</v>
      </c>
      <c r="G77" s="2">
        <v>1.25</v>
      </c>
      <c r="H77">
        <f t="shared" si="4"/>
        <v>1</v>
      </c>
      <c r="I77">
        <f t="shared" si="5"/>
        <v>1</v>
      </c>
      <c r="J77">
        <f t="shared" si="6"/>
        <v>3</v>
      </c>
      <c r="K77">
        <f t="shared" si="7"/>
        <v>1</v>
      </c>
    </row>
    <row r="78" spans="1:11" x14ac:dyDescent="0.35">
      <c r="A78" s="2" t="s">
        <v>9</v>
      </c>
      <c r="B78" s="2" t="s">
        <v>20</v>
      </c>
      <c r="C78" s="2" t="s">
        <v>19</v>
      </c>
      <c r="D78" s="2" t="s">
        <v>8</v>
      </c>
      <c r="E78" s="2">
        <v>2</v>
      </c>
      <c r="F78" s="2">
        <v>17.920000000000002</v>
      </c>
      <c r="G78" s="2">
        <v>3.08</v>
      </c>
      <c r="H78">
        <f t="shared" si="4"/>
        <v>1</v>
      </c>
      <c r="I78">
        <f t="shared" si="5"/>
        <v>0</v>
      </c>
      <c r="J78">
        <f t="shared" si="6"/>
        <v>3</v>
      </c>
      <c r="K78">
        <f t="shared" si="7"/>
        <v>1</v>
      </c>
    </row>
    <row r="79" spans="1:11" x14ac:dyDescent="0.35">
      <c r="A79" s="2" t="s">
        <v>9</v>
      </c>
      <c r="B79" s="2" t="s">
        <v>6</v>
      </c>
      <c r="C79" s="2" t="s">
        <v>21</v>
      </c>
      <c r="D79" s="2" t="s">
        <v>22</v>
      </c>
      <c r="E79" s="2">
        <v>4</v>
      </c>
      <c r="F79" s="2">
        <v>27.2</v>
      </c>
      <c r="G79" s="2">
        <v>4</v>
      </c>
      <c r="H79">
        <f t="shared" si="4"/>
        <v>1</v>
      </c>
      <c r="I79">
        <f t="shared" si="5"/>
        <v>1</v>
      </c>
      <c r="J79">
        <f t="shared" si="6"/>
        <v>1</v>
      </c>
      <c r="K79">
        <f t="shared" si="7"/>
        <v>0</v>
      </c>
    </row>
    <row r="80" spans="1:11" x14ac:dyDescent="0.35">
      <c r="A80" s="2" t="s">
        <v>9</v>
      </c>
      <c r="B80" s="2" t="s">
        <v>6</v>
      </c>
      <c r="C80" s="2" t="s">
        <v>21</v>
      </c>
      <c r="D80" s="2" t="s">
        <v>22</v>
      </c>
      <c r="E80" s="2">
        <v>2</v>
      </c>
      <c r="F80" s="2">
        <v>22.76</v>
      </c>
      <c r="G80" s="2">
        <v>3</v>
      </c>
      <c r="H80">
        <f t="shared" si="4"/>
        <v>1</v>
      </c>
      <c r="I80">
        <f t="shared" si="5"/>
        <v>1</v>
      </c>
      <c r="J80">
        <f t="shared" si="6"/>
        <v>1</v>
      </c>
      <c r="K80">
        <f t="shared" si="7"/>
        <v>0</v>
      </c>
    </row>
    <row r="81" spans="1:11" x14ac:dyDescent="0.35">
      <c r="A81" s="2" t="s">
        <v>9</v>
      </c>
      <c r="B81" s="2" t="s">
        <v>6</v>
      </c>
      <c r="C81" s="2" t="s">
        <v>21</v>
      </c>
      <c r="D81" s="2" t="s">
        <v>22</v>
      </c>
      <c r="E81" s="2">
        <v>2</v>
      </c>
      <c r="F81" s="2">
        <v>17.29</v>
      </c>
      <c r="G81" s="2">
        <v>2.71</v>
      </c>
      <c r="H81">
        <f t="shared" si="4"/>
        <v>1</v>
      </c>
      <c r="I81">
        <f t="shared" si="5"/>
        <v>1</v>
      </c>
      <c r="J81">
        <f t="shared" si="6"/>
        <v>1</v>
      </c>
      <c r="K81">
        <f t="shared" si="7"/>
        <v>0</v>
      </c>
    </row>
    <row r="82" spans="1:11" x14ac:dyDescent="0.35">
      <c r="A82" s="2" t="s">
        <v>9</v>
      </c>
      <c r="B82" s="2" t="s">
        <v>20</v>
      </c>
      <c r="C82" s="2" t="s">
        <v>21</v>
      </c>
      <c r="D82" s="2" t="s">
        <v>22</v>
      </c>
      <c r="E82" s="2">
        <v>2</v>
      </c>
      <c r="F82" s="2">
        <v>19.440000000000001</v>
      </c>
      <c r="G82" s="2">
        <v>3</v>
      </c>
      <c r="H82">
        <f t="shared" si="4"/>
        <v>1</v>
      </c>
      <c r="I82">
        <f t="shared" si="5"/>
        <v>0</v>
      </c>
      <c r="J82">
        <f t="shared" si="6"/>
        <v>1</v>
      </c>
      <c r="K82">
        <f t="shared" si="7"/>
        <v>0</v>
      </c>
    </row>
    <row r="83" spans="1:11" x14ac:dyDescent="0.35">
      <c r="A83" s="2" t="s">
        <v>9</v>
      </c>
      <c r="B83" s="2" t="s">
        <v>6</v>
      </c>
      <c r="C83" s="2" t="s">
        <v>21</v>
      </c>
      <c r="D83" s="2" t="s">
        <v>22</v>
      </c>
      <c r="E83" s="2">
        <v>2</v>
      </c>
      <c r="F83" s="2">
        <v>16.66</v>
      </c>
      <c r="G83" s="2">
        <v>3.4</v>
      </c>
      <c r="H83">
        <f t="shared" si="4"/>
        <v>1</v>
      </c>
      <c r="I83">
        <f t="shared" si="5"/>
        <v>1</v>
      </c>
      <c r="J83">
        <f t="shared" si="6"/>
        <v>1</v>
      </c>
      <c r="K83">
        <f t="shared" si="7"/>
        <v>0</v>
      </c>
    </row>
    <row r="84" spans="1:11" x14ac:dyDescent="0.35">
      <c r="A84" s="2" t="s">
        <v>5</v>
      </c>
      <c r="B84" s="2" t="s">
        <v>6</v>
      </c>
      <c r="C84" s="2" t="s">
        <v>21</v>
      </c>
      <c r="D84" s="2" t="s">
        <v>22</v>
      </c>
      <c r="E84" s="2">
        <v>1</v>
      </c>
      <c r="F84" s="2">
        <v>10.07</v>
      </c>
      <c r="G84" s="2">
        <v>1.83</v>
      </c>
      <c r="H84">
        <f t="shared" si="4"/>
        <v>0</v>
      </c>
      <c r="I84">
        <f t="shared" si="5"/>
        <v>1</v>
      </c>
      <c r="J84">
        <f t="shared" si="6"/>
        <v>1</v>
      </c>
      <c r="K84">
        <f t="shared" si="7"/>
        <v>0</v>
      </c>
    </row>
    <row r="85" spans="1:11" x14ac:dyDescent="0.35">
      <c r="A85" s="2" t="s">
        <v>9</v>
      </c>
      <c r="B85" s="2" t="s">
        <v>20</v>
      </c>
      <c r="C85" s="2" t="s">
        <v>21</v>
      </c>
      <c r="D85" s="2" t="s">
        <v>22</v>
      </c>
      <c r="E85" s="2">
        <v>2</v>
      </c>
      <c r="F85" s="2">
        <v>32.68</v>
      </c>
      <c r="G85" s="2">
        <v>5</v>
      </c>
      <c r="H85">
        <f t="shared" si="4"/>
        <v>1</v>
      </c>
      <c r="I85">
        <f t="shared" si="5"/>
        <v>0</v>
      </c>
      <c r="J85">
        <f t="shared" si="6"/>
        <v>1</v>
      </c>
      <c r="K85">
        <f t="shared" si="7"/>
        <v>0</v>
      </c>
    </row>
    <row r="86" spans="1:11" x14ac:dyDescent="0.35">
      <c r="A86" s="2" t="s">
        <v>9</v>
      </c>
      <c r="B86" s="2" t="s">
        <v>6</v>
      </c>
      <c r="C86" s="2" t="s">
        <v>21</v>
      </c>
      <c r="D86" s="2" t="s">
        <v>22</v>
      </c>
      <c r="E86" s="2">
        <v>2</v>
      </c>
      <c r="F86" s="2">
        <v>15.98</v>
      </c>
      <c r="G86" s="2">
        <v>2.0299999999999998</v>
      </c>
      <c r="H86">
        <f t="shared" si="4"/>
        <v>1</v>
      </c>
      <c r="I86">
        <f t="shared" si="5"/>
        <v>1</v>
      </c>
      <c r="J86">
        <f t="shared" si="6"/>
        <v>1</v>
      </c>
      <c r="K86">
        <f t="shared" si="7"/>
        <v>0</v>
      </c>
    </row>
    <row r="87" spans="1:11" x14ac:dyDescent="0.35">
      <c r="A87" s="2" t="s">
        <v>5</v>
      </c>
      <c r="B87" s="2" t="s">
        <v>6</v>
      </c>
      <c r="C87" s="2" t="s">
        <v>21</v>
      </c>
      <c r="D87" s="2" t="s">
        <v>22</v>
      </c>
      <c r="E87" s="2">
        <v>4</v>
      </c>
      <c r="F87" s="2">
        <v>34.83</v>
      </c>
      <c r="G87" s="2">
        <v>5.17</v>
      </c>
      <c r="H87">
        <f t="shared" si="4"/>
        <v>0</v>
      </c>
      <c r="I87">
        <f t="shared" si="5"/>
        <v>1</v>
      </c>
      <c r="J87">
        <f t="shared" si="6"/>
        <v>1</v>
      </c>
      <c r="K87">
        <f t="shared" si="7"/>
        <v>0</v>
      </c>
    </row>
    <row r="88" spans="1:11" x14ac:dyDescent="0.35">
      <c r="A88" s="2" t="s">
        <v>9</v>
      </c>
      <c r="B88" s="2" t="s">
        <v>6</v>
      </c>
      <c r="C88" s="2" t="s">
        <v>21</v>
      </c>
      <c r="D88" s="2" t="s">
        <v>22</v>
      </c>
      <c r="E88" s="2">
        <v>2</v>
      </c>
      <c r="F88" s="2">
        <v>13.03</v>
      </c>
      <c r="G88" s="2">
        <v>2</v>
      </c>
      <c r="H88">
        <f t="shared" si="4"/>
        <v>1</v>
      </c>
      <c r="I88">
        <f t="shared" si="5"/>
        <v>1</v>
      </c>
      <c r="J88">
        <f t="shared" si="6"/>
        <v>1</v>
      </c>
      <c r="K88">
        <f t="shared" si="7"/>
        <v>0</v>
      </c>
    </row>
    <row r="89" spans="1:11" x14ac:dyDescent="0.35">
      <c r="A89" s="2" t="s">
        <v>9</v>
      </c>
      <c r="B89" s="2" t="s">
        <v>6</v>
      </c>
      <c r="C89" s="2" t="s">
        <v>21</v>
      </c>
      <c r="D89" s="2" t="s">
        <v>22</v>
      </c>
      <c r="E89" s="2">
        <v>2</v>
      </c>
      <c r="F89" s="2">
        <v>18.28</v>
      </c>
      <c r="G89" s="2">
        <v>4</v>
      </c>
      <c r="H89">
        <f t="shared" si="4"/>
        <v>1</v>
      </c>
      <c r="I89">
        <f t="shared" si="5"/>
        <v>1</v>
      </c>
      <c r="J89">
        <f t="shared" si="6"/>
        <v>1</v>
      </c>
      <c r="K89">
        <f t="shared" si="7"/>
        <v>0</v>
      </c>
    </row>
    <row r="90" spans="1:11" x14ac:dyDescent="0.35">
      <c r="A90" s="2" t="s">
        <v>9</v>
      </c>
      <c r="B90" s="2" t="s">
        <v>6</v>
      </c>
      <c r="C90" s="2" t="s">
        <v>21</v>
      </c>
      <c r="D90" s="2" t="s">
        <v>22</v>
      </c>
      <c r="E90" s="2">
        <v>2</v>
      </c>
      <c r="F90" s="2">
        <v>24.71</v>
      </c>
      <c r="G90" s="2">
        <v>5.85</v>
      </c>
      <c r="H90">
        <f t="shared" si="4"/>
        <v>1</v>
      </c>
      <c r="I90">
        <f t="shared" si="5"/>
        <v>1</v>
      </c>
      <c r="J90">
        <f t="shared" si="6"/>
        <v>1</v>
      </c>
      <c r="K90">
        <f t="shared" si="7"/>
        <v>0</v>
      </c>
    </row>
    <row r="91" spans="1:11" x14ac:dyDescent="0.35">
      <c r="A91" s="2" t="s">
        <v>9</v>
      </c>
      <c r="B91" s="2" t="s">
        <v>6</v>
      </c>
      <c r="C91" s="2" t="s">
        <v>21</v>
      </c>
      <c r="D91" s="2" t="s">
        <v>22</v>
      </c>
      <c r="E91" s="2">
        <v>2</v>
      </c>
      <c r="F91" s="2">
        <v>21.16</v>
      </c>
      <c r="G91" s="2">
        <v>3</v>
      </c>
      <c r="H91">
        <f t="shared" si="4"/>
        <v>1</v>
      </c>
      <c r="I91">
        <f t="shared" si="5"/>
        <v>1</v>
      </c>
      <c r="J91">
        <f t="shared" si="6"/>
        <v>1</v>
      </c>
      <c r="K91">
        <f t="shared" si="7"/>
        <v>0</v>
      </c>
    </row>
    <row r="92" spans="1:11" x14ac:dyDescent="0.35">
      <c r="A92" s="2" t="s">
        <v>9</v>
      </c>
      <c r="B92" s="2" t="s">
        <v>20</v>
      </c>
      <c r="C92" s="2" t="s">
        <v>23</v>
      </c>
      <c r="D92" s="2" t="s">
        <v>8</v>
      </c>
      <c r="E92" s="2">
        <v>2</v>
      </c>
      <c r="F92" s="2">
        <v>28.97</v>
      </c>
      <c r="G92" s="2">
        <v>3</v>
      </c>
      <c r="H92">
        <f t="shared" si="4"/>
        <v>1</v>
      </c>
      <c r="I92">
        <f t="shared" si="5"/>
        <v>0</v>
      </c>
      <c r="J92">
        <f t="shared" si="6"/>
        <v>2</v>
      </c>
      <c r="K92">
        <f t="shared" si="7"/>
        <v>1</v>
      </c>
    </row>
    <row r="93" spans="1:11" x14ac:dyDescent="0.35">
      <c r="A93" s="2" t="s">
        <v>9</v>
      </c>
      <c r="B93" s="2" t="s">
        <v>6</v>
      </c>
      <c r="C93" s="2" t="s">
        <v>23</v>
      </c>
      <c r="D93" s="2" t="s">
        <v>8</v>
      </c>
      <c r="E93" s="2">
        <v>2</v>
      </c>
      <c r="F93" s="2">
        <v>22.49</v>
      </c>
      <c r="G93" s="2">
        <v>3.5</v>
      </c>
      <c r="H93">
        <f t="shared" si="4"/>
        <v>1</v>
      </c>
      <c r="I93">
        <f t="shared" si="5"/>
        <v>1</v>
      </c>
      <c r="J93">
        <f t="shared" si="6"/>
        <v>2</v>
      </c>
      <c r="K93">
        <f t="shared" si="7"/>
        <v>1</v>
      </c>
    </row>
    <row r="94" spans="1:11" x14ac:dyDescent="0.35">
      <c r="A94" s="2" t="s">
        <v>5</v>
      </c>
      <c r="B94" s="2" t="s">
        <v>20</v>
      </c>
      <c r="C94" s="2" t="s">
        <v>23</v>
      </c>
      <c r="D94" s="2" t="s">
        <v>8</v>
      </c>
      <c r="E94" s="2">
        <v>2</v>
      </c>
      <c r="F94" s="2">
        <v>5.75</v>
      </c>
      <c r="G94" s="2">
        <v>1</v>
      </c>
      <c r="H94">
        <f t="shared" si="4"/>
        <v>0</v>
      </c>
      <c r="I94">
        <f t="shared" si="5"/>
        <v>0</v>
      </c>
      <c r="J94">
        <f t="shared" si="6"/>
        <v>2</v>
      </c>
      <c r="K94">
        <f t="shared" si="7"/>
        <v>1</v>
      </c>
    </row>
    <row r="95" spans="1:11" x14ac:dyDescent="0.35">
      <c r="A95" s="2" t="s">
        <v>5</v>
      </c>
      <c r="B95" s="2" t="s">
        <v>20</v>
      </c>
      <c r="C95" s="2" t="s">
        <v>23</v>
      </c>
      <c r="D95" s="2" t="s">
        <v>8</v>
      </c>
      <c r="E95" s="2">
        <v>2</v>
      </c>
      <c r="F95" s="2">
        <v>16.32</v>
      </c>
      <c r="G95" s="2">
        <v>4.3</v>
      </c>
      <c r="H95">
        <f t="shared" si="4"/>
        <v>0</v>
      </c>
      <c r="I95">
        <f t="shared" si="5"/>
        <v>0</v>
      </c>
      <c r="J95">
        <f t="shared" si="6"/>
        <v>2</v>
      </c>
      <c r="K95">
        <f t="shared" si="7"/>
        <v>1</v>
      </c>
    </row>
    <row r="96" spans="1:11" x14ac:dyDescent="0.35">
      <c r="A96" s="2" t="s">
        <v>5</v>
      </c>
      <c r="B96" s="2" t="s">
        <v>6</v>
      </c>
      <c r="C96" s="2" t="s">
        <v>23</v>
      </c>
      <c r="D96" s="2" t="s">
        <v>8</v>
      </c>
      <c r="E96" s="2">
        <v>2</v>
      </c>
      <c r="F96" s="2">
        <v>22.75</v>
      </c>
      <c r="G96" s="2">
        <v>3.25</v>
      </c>
      <c r="H96">
        <f t="shared" si="4"/>
        <v>0</v>
      </c>
      <c r="I96">
        <f t="shared" si="5"/>
        <v>1</v>
      </c>
      <c r="J96">
        <f t="shared" si="6"/>
        <v>2</v>
      </c>
      <c r="K96">
        <f t="shared" si="7"/>
        <v>1</v>
      </c>
    </row>
    <row r="97" spans="1:11" x14ac:dyDescent="0.35">
      <c r="A97" s="2" t="s">
        <v>9</v>
      </c>
      <c r="B97" s="2" t="s">
        <v>20</v>
      </c>
      <c r="C97" s="2" t="s">
        <v>23</v>
      </c>
      <c r="D97" s="2" t="s">
        <v>8</v>
      </c>
      <c r="E97" s="2">
        <v>4</v>
      </c>
      <c r="F97" s="2">
        <v>40.17</v>
      </c>
      <c r="G97" s="2">
        <v>4.7300000000000004</v>
      </c>
      <c r="H97">
        <f t="shared" si="4"/>
        <v>1</v>
      </c>
      <c r="I97">
        <f t="shared" si="5"/>
        <v>0</v>
      </c>
      <c r="J97">
        <f t="shared" si="6"/>
        <v>2</v>
      </c>
      <c r="K97">
        <f t="shared" si="7"/>
        <v>1</v>
      </c>
    </row>
    <row r="98" spans="1:11" x14ac:dyDescent="0.35">
      <c r="A98" s="2" t="s">
        <v>9</v>
      </c>
      <c r="B98" s="2" t="s">
        <v>20</v>
      </c>
      <c r="C98" s="2" t="s">
        <v>23</v>
      </c>
      <c r="D98" s="2" t="s">
        <v>8</v>
      </c>
      <c r="E98" s="2">
        <v>2</v>
      </c>
      <c r="F98" s="2">
        <v>27.28</v>
      </c>
      <c r="G98" s="2">
        <v>4</v>
      </c>
      <c r="H98">
        <f t="shared" si="4"/>
        <v>1</v>
      </c>
      <c r="I98">
        <f t="shared" si="5"/>
        <v>0</v>
      </c>
      <c r="J98">
        <f t="shared" si="6"/>
        <v>2</v>
      </c>
      <c r="K98">
        <f t="shared" si="7"/>
        <v>1</v>
      </c>
    </row>
    <row r="99" spans="1:11" x14ac:dyDescent="0.35">
      <c r="A99" s="2" t="s">
        <v>9</v>
      </c>
      <c r="B99" s="2" t="s">
        <v>20</v>
      </c>
      <c r="C99" s="2" t="s">
        <v>23</v>
      </c>
      <c r="D99" s="2" t="s">
        <v>8</v>
      </c>
      <c r="E99" s="2">
        <v>2</v>
      </c>
      <c r="F99" s="2">
        <v>12.03</v>
      </c>
      <c r="G99" s="2">
        <v>1.5</v>
      </c>
      <c r="H99">
        <f t="shared" si="4"/>
        <v>1</v>
      </c>
      <c r="I99">
        <f t="shared" si="5"/>
        <v>0</v>
      </c>
      <c r="J99">
        <f t="shared" si="6"/>
        <v>2</v>
      </c>
      <c r="K99">
        <f t="shared" si="7"/>
        <v>1</v>
      </c>
    </row>
    <row r="100" spans="1:11" x14ac:dyDescent="0.35">
      <c r="A100" s="2" t="s">
        <v>9</v>
      </c>
      <c r="B100" s="2" t="s">
        <v>20</v>
      </c>
      <c r="C100" s="2" t="s">
        <v>23</v>
      </c>
      <c r="D100" s="2" t="s">
        <v>8</v>
      </c>
      <c r="E100" s="2">
        <v>2</v>
      </c>
      <c r="F100" s="2">
        <v>21.01</v>
      </c>
      <c r="G100" s="2">
        <v>3</v>
      </c>
      <c r="H100">
        <f t="shared" si="4"/>
        <v>1</v>
      </c>
      <c r="I100">
        <f t="shared" si="5"/>
        <v>0</v>
      </c>
      <c r="J100">
        <f t="shared" si="6"/>
        <v>2</v>
      </c>
      <c r="K100">
        <f t="shared" si="7"/>
        <v>1</v>
      </c>
    </row>
    <row r="101" spans="1:11" x14ac:dyDescent="0.35">
      <c r="A101" s="2" t="s">
        <v>9</v>
      </c>
      <c r="B101" s="2" t="s">
        <v>6</v>
      </c>
      <c r="C101" s="2" t="s">
        <v>23</v>
      </c>
      <c r="D101" s="2" t="s">
        <v>8</v>
      </c>
      <c r="E101" s="2">
        <v>2</v>
      </c>
      <c r="F101" s="2">
        <v>12.46</v>
      </c>
      <c r="G101" s="2">
        <v>1.5</v>
      </c>
      <c r="H101">
        <f t="shared" si="4"/>
        <v>1</v>
      </c>
      <c r="I101">
        <f t="shared" si="5"/>
        <v>1</v>
      </c>
      <c r="J101">
        <f t="shared" si="6"/>
        <v>2</v>
      </c>
      <c r="K101">
        <f t="shared" si="7"/>
        <v>1</v>
      </c>
    </row>
    <row r="102" spans="1:11" x14ac:dyDescent="0.35">
      <c r="A102" s="2" t="s">
        <v>5</v>
      </c>
      <c r="B102" s="2" t="s">
        <v>20</v>
      </c>
      <c r="C102" s="2" t="s">
        <v>23</v>
      </c>
      <c r="D102" s="2" t="s">
        <v>8</v>
      </c>
      <c r="E102" s="2">
        <v>2</v>
      </c>
      <c r="F102" s="2">
        <v>11.35</v>
      </c>
      <c r="G102" s="2">
        <v>2.5</v>
      </c>
      <c r="H102">
        <f t="shared" si="4"/>
        <v>0</v>
      </c>
      <c r="I102">
        <f t="shared" si="5"/>
        <v>0</v>
      </c>
      <c r="J102">
        <f t="shared" si="6"/>
        <v>2</v>
      </c>
      <c r="K102">
        <f t="shared" si="7"/>
        <v>1</v>
      </c>
    </row>
    <row r="103" spans="1:11" x14ac:dyDescent="0.35">
      <c r="A103" s="2" t="s">
        <v>5</v>
      </c>
      <c r="B103" s="2" t="s">
        <v>20</v>
      </c>
      <c r="C103" s="2" t="s">
        <v>23</v>
      </c>
      <c r="D103" s="2" t="s">
        <v>8</v>
      </c>
      <c r="E103" s="2">
        <v>2</v>
      </c>
      <c r="F103" s="2">
        <v>15.38</v>
      </c>
      <c r="G103" s="2">
        <v>3</v>
      </c>
      <c r="H103">
        <f t="shared" si="4"/>
        <v>0</v>
      </c>
      <c r="I103">
        <f t="shared" si="5"/>
        <v>0</v>
      </c>
      <c r="J103">
        <f t="shared" si="6"/>
        <v>2</v>
      </c>
      <c r="K103">
        <f t="shared" si="7"/>
        <v>1</v>
      </c>
    </row>
    <row r="104" spans="1:11" x14ac:dyDescent="0.35">
      <c r="A104" s="2" t="s">
        <v>5</v>
      </c>
      <c r="B104" s="2" t="s">
        <v>20</v>
      </c>
      <c r="C104" s="2" t="s">
        <v>19</v>
      </c>
      <c r="D104" s="2" t="s">
        <v>8</v>
      </c>
      <c r="E104" s="2">
        <v>3</v>
      </c>
      <c r="F104" s="2">
        <v>44.3</v>
      </c>
      <c r="G104" s="2">
        <v>2.5</v>
      </c>
      <c r="H104">
        <f t="shared" si="4"/>
        <v>0</v>
      </c>
      <c r="I104">
        <f t="shared" si="5"/>
        <v>0</v>
      </c>
      <c r="J104">
        <f t="shared" si="6"/>
        <v>3</v>
      </c>
      <c r="K104">
        <f t="shared" si="7"/>
        <v>1</v>
      </c>
    </row>
    <row r="105" spans="1:11" x14ac:dyDescent="0.35">
      <c r="A105" s="2" t="s">
        <v>5</v>
      </c>
      <c r="B105" s="2" t="s">
        <v>20</v>
      </c>
      <c r="C105" s="2" t="s">
        <v>19</v>
      </c>
      <c r="D105" s="2" t="s">
        <v>8</v>
      </c>
      <c r="E105" s="2">
        <v>2</v>
      </c>
      <c r="F105" s="2">
        <v>22.42</v>
      </c>
      <c r="G105" s="2">
        <v>3.48</v>
      </c>
      <c r="H105">
        <f t="shared" si="4"/>
        <v>0</v>
      </c>
      <c r="I105">
        <f t="shared" si="5"/>
        <v>0</v>
      </c>
      <c r="J105">
        <f t="shared" si="6"/>
        <v>3</v>
      </c>
      <c r="K105">
        <f t="shared" si="7"/>
        <v>1</v>
      </c>
    </row>
    <row r="106" spans="1:11" x14ac:dyDescent="0.35">
      <c r="A106" s="2" t="s">
        <v>5</v>
      </c>
      <c r="B106" s="2" t="s">
        <v>6</v>
      </c>
      <c r="C106" s="2" t="s">
        <v>19</v>
      </c>
      <c r="D106" s="2" t="s">
        <v>8</v>
      </c>
      <c r="E106" s="2">
        <v>2</v>
      </c>
      <c r="F106" s="2">
        <v>20.92</v>
      </c>
      <c r="G106" s="2">
        <v>4.08</v>
      </c>
      <c r="H106">
        <f t="shared" si="4"/>
        <v>0</v>
      </c>
      <c r="I106">
        <f t="shared" si="5"/>
        <v>1</v>
      </c>
      <c r="J106">
        <f t="shared" si="6"/>
        <v>3</v>
      </c>
      <c r="K106">
        <f t="shared" si="7"/>
        <v>1</v>
      </c>
    </row>
    <row r="107" spans="1:11" x14ac:dyDescent="0.35">
      <c r="A107" s="2" t="s">
        <v>9</v>
      </c>
      <c r="B107" s="2" t="s">
        <v>20</v>
      </c>
      <c r="C107" s="2" t="s">
        <v>19</v>
      </c>
      <c r="D107" s="2" t="s">
        <v>8</v>
      </c>
      <c r="E107" s="2">
        <v>2</v>
      </c>
      <c r="F107" s="2">
        <v>15.36</v>
      </c>
      <c r="G107" s="2">
        <v>1.64</v>
      </c>
      <c r="H107">
        <f t="shared" si="4"/>
        <v>1</v>
      </c>
      <c r="I107">
        <f t="shared" si="5"/>
        <v>0</v>
      </c>
      <c r="J107">
        <f t="shared" si="6"/>
        <v>3</v>
      </c>
      <c r="K107">
        <f t="shared" si="7"/>
        <v>1</v>
      </c>
    </row>
    <row r="108" spans="1:11" x14ac:dyDescent="0.35">
      <c r="A108" s="2" t="s">
        <v>9</v>
      </c>
      <c r="B108" s="2" t="s">
        <v>20</v>
      </c>
      <c r="C108" s="2" t="s">
        <v>19</v>
      </c>
      <c r="D108" s="2" t="s">
        <v>8</v>
      </c>
      <c r="E108" s="2">
        <v>2</v>
      </c>
      <c r="F108" s="2">
        <v>20.49</v>
      </c>
      <c r="G108" s="2">
        <v>4.0599999999999996</v>
      </c>
      <c r="H108">
        <f t="shared" si="4"/>
        <v>1</v>
      </c>
      <c r="I108">
        <f t="shared" si="5"/>
        <v>0</v>
      </c>
      <c r="J108">
        <f t="shared" si="6"/>
        <v>3</v>
      </c>
      <c r="K108">
        <f t="shared" si="7"/>
        <v>1</v>
      </c>
    </row>
    <row r="109" spans="1:11" x14ac:dyDescent="0.35">
      <c r="A109" s="2" t="s">
        <v>9</v>
      </c>
      <c r="B109" s="2" t="s">
        <v>20</v>
      </c>
      <c r="C109" s="2" t="s">
        <v>19</v>
      </c>
      <c r="D109" s="2" t="s">
        <v>8</v>
      </c>
      <c r="E109" s="2">
        <v>2</v>
      </c>
      <c r="F109" s="2">
        <v>25.21</v>
      </c>
      <c r="G109" s="2">
        <v>4.29</v>
      </c>
      <c r="H109">
        <f t="shared" si="4"/>
        <v>1</v>
      </c>
      <c r="I109">
        <f t="shared" si="5"/>
        <v>0</v>
      </c>
      <c r="J109">
        <f t="shared" si="6"/>
        <v>3</v>
      </c>
      <c r="K109">
        <f t="shared" si="7"/>
        <v>1</v>
      </c>
    </row>
    <row r="110" spans="1:11" x14ac:dyDescent="0.35">
      <c r="A110" s="2" t="s">
        <v>9</v>
      </c>
      <c r="B110" s="2" t="s">
        <v>6</v>
      </c>
      <c r="C110" s="2" t="s">
        <v>19</v>
      </c>
      <c r="D110" s="2" t="s">
        <v>8</v>
      </c>
      <c r="E110" s="2">
        <v>2</v>
      </c>
      <c r="F110" s="2">
        <v>18.239999999999998</v>
      </c>
      <c r="G110" s="2">
        <v>3.76</v>
      </c>
      <c r="H110">
        <f t="shared" si="4"/>
        <v>1</v>
      </c>
      <c r="I110">
        <f t="shared" si="5"/>
        <v>1</v>
      </c>
      <c r="J110">
        <f t="shared" si="6"/>
        <v>3</v>
      </c>
      <c r="K110">
        <f t="shared" si="7"/>
        <v>1</v>
      </c>
    </row>
    <row r="111" spans="1:11" x14ac:dyDescent="0.35">
      <c r="A111" s="2" t="s">
        <v>5</v>
      </c>
      <c r="B111" s="2" t="s">
        <v>20</v>
      </c>
      <c r="C111" s="2" t="s">
        <v>19</v>
      </c>
      <c r="D111" s="2" t="s">
        <v>8</v>
      </c>
      <c r="E111" s="2">
        <v>2</v>
      </c>
      <c r="F111" s="2">
        <v>14.31</v>
      </c>
      <c r="G111" s="2">
        <v>4</v>
      </c>
      <c r="H111">
        <f t="shared" si="4"/>
        <v>0</v>
      </c>
      <c r="I111">
        <f t="shared" si="5"/>
        <v>0</v>
      </c>
      <c r="J111">
        <f t="shared" si="6"/>
        <v>3</v>
      </c>
      <c r="K111">
        <f t="shared" si="7"/>
        <v>1</v>
      </c>
    </row>
    <row r="112" spans="1:11" x14ac:dyDescent="0.35">
      <c r="A112" s="2" t="s">
        <v>9</v>
      </c>
      <c r="B112" s="2" t="s">
        <v>6</v>
      </c>
      <c r="C112" s="2" t="s">
        <v>19</v>
      </c>
      <c r="D112" s="2" t="s">
        <v>8</v>
      </c>
      <c r="E112" s="2">
        <v>2</v>
      </c>
      <c r="F112" s="2">
        <v>14</v>
      </c>
      <c r="G112" s="2">
        <v>3</v>
      </c>
      <c r="H112">
        <f t="shared" si="4"/>
        <v>1</v>
      </c>
      <c r="I112">
        <f t="shared" si="5"/>
        <v>1</v>
      </c>
      <c r="J112">
        <f t="shared" si="6"/>
        <v>3</v>
      </c>
      <c r="K112">
        <f t="shared" si="7"/>
        <v>1</v>
      </c>
    </row>
    <row r="113" spans="1:11" x14ac:dyDescent="0.35">
      <c r="A113" s="2" t="s">
        <v>5</v>
      </c>
      <c r="B113" s="2" t="s">
        <v>6</v>
      </c>
      <c r="C113" s="2" t="s">
        <v>19</v>
      </c>
      <c r="D113" s="2" t="s">
        <v>8</v>
      </c>
      <c r="E113" s="2">
        <v>1</v>
      </c>
      <c r="F113" s="2">
        <v>7.25</v>
      </c>
      <c r="G113" s="2">
        <v>1</v>
      </c>
      <c r="H113">
        <f t="shared" si="4"/>
        <v>0</v>
      </c>
      <c r="I113">
        <f t="shared" si="5"/>
        <v>1</v>
      </c>
      <c r="J113">
        <f t="shared" si="6"/>
        <v>3</v>
      </c>
      <c r="K113">
        <f t="shared" si="7"/>
        <v>1</v>
      </c>
    </row>
    <row r="114" spans="1:11" x14ac:dyDescent="0.35">
      <c r="A114" s="2" t="s">
        <v>9</v>
      </c>
      <c r="B114" s="2" t="s">
        <v>6</v>
      </c>
      <c r="C114" s="2" t="s">
        <v>7</v>
      </c>
      <c r="D114" s="2" t="s">
        <v>8</v>
      </c>
      <c r="E114" s="2">
        <v>3</v>
      </c>
      <c r="F114" s="2">
        <v>38.07</v>
      </c>
      <c r="G114" s="2">
        <v>4</v>
      </c>
      <c r="H114">
        <f t="shared" si="4"/>
        <v>1</v>
      </c>
      <c r="I114">
        <f t="shared" si="5"/>
        <v>1</v>
      </c>
      <c r="J114">
        <f t="shared" si="6"/>
        <v>4</v>
      </c>
      <c r="K114">
        <f t="shared" si="7"/>
        <v>1</v>
      </c>
    </row>
    <row r="115" spans="1:11" x14ac:dyDescent="0.35">
      <c r="A115" s="2" t="s">
        <v>9</v>
      </c>
      <c r="B115" s="2" t="s">
        <v>6</v>
      </c>
      <c r="C115" s="2" t="s">
        <v>7</v>
      </c>
      <c r="D115" s="2" t="s">
        <v>8</v>
      </c>
      <c r="E115" s="2">
        <v>2</v>
      </c>
      <c r="F115" s="2">
        <v>23.95</v>
      </c>
      <c r="G115" s="2">
        <v>2.5499999999999998</v>
      </c>
      <c r="H115">
        <f t="shared" si="4"/>
        <v>1</v>
      </c>
      <c r="I115">
        <f t="shared" si="5"/>
        <v>1</v>
      </c>
      <c r="J115">
        <f t="shared" si="6"/>
        <v>4</v>
      </c>
      <c r="K115">
        <f t="shared" si="7"/>
        <v>1</v>
      </c>
    </row>
    <row r="116" spans="1:11" x14ac:dyDescent="0.35">
      <c r="A116" s="2" t="s">
        <v>5</v>
      </c>
      <c r="B116" s="2" t="s">
        <v>6</v>
      </c>
      <c r="C116" s="2" t="s">
        <v>7</v>
      </c>
      <c r="D116" s="2" t="s">
        <v>8</v>
      </c>
      <c r="E116" s="2">
        <v>3</v>
      </c>
      <c r="F116" s="2">
        <v>25.71</v>
      </c>
      <c r="G116" s="2">
        <v>4</v>
      </c>
      <c r="H116">
        <f t="shared" si="4"/>
        <v>0</v>
      </c>
      <c r="I116">
        <f t="shared" si="5"/>
        <v>1</v>
      </c>
      <c r="J116">
        <f t="shared" si="6"/>
        <v>4</v>
      </c>
      <c r="K116">
        <f t="shared" si="7"/>
        <v>1</v>
      </c>
    </row>
    <row r="117" spans="1:11" x14ac:dyDescent="0.35">
      <c r="A117" s="2" t="s">
        <v>5</v>
      </c>
      <c r="B117" s="2" t="s">
        <v>6</v>
      </c>
      <c r="C117" s="2" t="s">
        <v>7</v>
      </c>
      <c r="D117" s="2" t="s">
        <v>8</v>
      </c>
      <c r="E117" s="2">
        <v>2</v>
      </c>
      <c r="F117" s="2">
        <v>17.309999999999999</v>
      </c>
      <c r="G117" s="2">
        <v>3.5</v>
      </c>
      <c r="H117">
        <f t="shared" si="4"/>
        <v>0</v>
      </c>
      <c r="I117">
        <f t="shared" si="5"/>
        <v>1</v>
      </c>
      <c r="J117">
        <f t="shared" si="6"/>
        <v>4</v>
      </c>
      <c r="K117">
        <f t="shared" si="7"/>
        <v>1</v>
      </c>
    </row>
    <row r="118" spans="1:11" x14ac:dyDescent="0.35">
      <c r="A118" s="2" t="s">
        <v>9</v>
      </c>
      <c r="B118" s="2" t="s">
        <v>6</v>
      </c>
      <c r="C118" s="2" t="s">
        <v>7</v>
      </c>
      <c r="D118" s="2" t="s">
        <v>8</v>
      </c>
      <c r="E118" s="2">
        <v>4</v>
      </c>
      <c r="F118" s="2">
        <v>29.93</v>
      </c>
      <c r="G118" s="2">
        <v>5.07</v>
      </c>
      <c r="H118">
        <f t="shared" si="4"/>
        <v>1</v>
      </c>
      <c r="I118">
        <f t="shared" si="5"/>
        <v>1</v>
      </c>
      <c r="J118">
        <f t="shared" si="6"/>
        <v>4</v>
      </c>
      <c r="K118">
        <f t="shared" si="7"/>
        <v>1</v>
      </c>
    </row>
    <row r="119" spans="1:11" x14ac:dyDescent="0.35">
      <c r="A119" s="2" t="s">
        <v>5</v>
      </c>
      <c r="B119" s="2" t="s">
        <v>6</v>
      </c>
      <c r="C119" s="2" t="s">
        <v>21</v>
      </c>
      <c r="D119" s="2" t="s">
        <v>22</v>
      </c>
      <c r="E119" s="2">
        <v>2</v>
      </c>
      <c r="F119" s="2">
        <v>10.65</v>
      </c>
      <c r="G119" s="2">
        <v>1.5</v>
      </c>
      <c r="H119">
        <f t="shared" si="4"/>
        <v>0</v>
      </c>
      <c r="I119">
        <f t="shared" si="5"/>
        <v>1</v>
      </c>
      <c r="J119">
        <f t="shared" si="6"/>
        <v>1</v>
      </c>
      <c r="K119">
        <f t="shared" si="7"/>
        <v>0</v>
      </c>
    </row>
    <row r="120" spans="1:11" x14ac:dyDescent="0.35">
      <c r="A120" s="2" t="s">
        <v>5</v>
      </c>
      <c r="B120" s="2" t="s">
        <v>6</v>
      </c>
      <c r="C120" s="2" t="s">
        <v>21</v>
      </c>
      <c r="D120" s="2" t="s">
        <v>22</v>
      </c>
      <c r="E120" s="2">
        <v>2</v>
      </c>
      <c r="F120" s="2">
        <v>12.43</v>
      </c>
      <c r="G120" s="2">
        <v>1.8</v>
      </c>
      <c r="H120">
        <f t="shared" si="4"/>
        <v>0</v>
      </c>
      <c r="I120">
        <f t="shared" si="5"/>
        <v>1</v>
      </c>
      <c r="J120">
        <f t="shared" si="6"/>
        <v>1</v>
      </c>
      <c r="K120">
        <f t="shared" si="7"/>
        <v>0</v>
      </c>
    </row>
    <row r="121" spans="1:11" x14ac:dyDescent="0.35">
      <c r="A121" s="2" t="s">
        <v>5</v>
      </c>
      <c r="B121" s="2" t="s">
        <v>6</v>
      </c>
      <c r="C121" s="2" t="s">
        <v>21</v>
      </c>
      <c r="D121" s="2" t="s">
        <v>22</v>
      </c>
      <c r="E121" s="2">
        <v>4</v>
      </c>
      <c r="F121" s="2">
        <v>24.08</v>
      </c>
      <c r="G121" s="2">
        <v>2.92</v>
      </c>
      <c r="H121">
        <f t="shared" si="4"/>
        <v>0</v>
      </c>
      <c r="I121">
        <f t="shared" si="5"/>
        <v>1</v>
      </c>
      <c r="J121">
        <f t="shared" si="6"/>
        <v>1</v>
      </c>
      <c r="K121">
        <f t="shared" si="7"/>
        <v>0</v>
      </c>
    </row>
    <row r="122" spans="1:11" x14ac:dyDescent="0.35">
      <c r="A122" s="2" t="s">
        <v>9</v>
      </c>
      <c r="B122" s="2" t="s">
        <v>6</v>
      </c>
      <c r="C122" s="2" t="s">
        <v>21</v>
      </c>
      <c r="D122" s="2" t="s">
        <v>22</v>
      </c>
      <c r="E122" s="2">
        <v>2</v>
      </c>
      <c r="F122" s="2">
        <v>11.69</v>
      </c>
      <c r="G122" s="2">
        <v>2.31</v>
      </c>
      <c r="H122">
        <f t="shared" si="4"/>
        <v>1</v>
      </c>
      <c r="I122">
        <f t="shared" si="5"/>
        <v>1</v>
      </c>
      <c r="J122">
        <f t="shared" si="6"/>
        <v>1</v>
      </c>
      <c r="K122">
        <f t="shared" si="7"/>
        <v>0</v>
      </c>
    </row>
    <row r="123" spans="1:11" x14ac:dyDescent="0.35">
      <c r="A123" s="2" t="s">
        <v>5</v>
      </c>
      <c r="B123" s="2" t="s">
        <v>6</v>
      </c>
      <c r="C123" s="2" t="s">
        <v>21</v>
      </c>
      <c r="D123" s="2" t="s">
        <v>22</v>
      </c>
      <c r="E123" s="2">
        <v>2</v>
      </c>
      <c r="F123" s="2">
        <v>13.42</v>
      </c>
      <c r="G123" s="2">
        <v>1.68</v>
      </c>
      <c r="H123">
        <f t="shared" si="4"/>
        <v>0</v>
      </c>
      <c r="I123">
        <f t="shared" si="5"/>
        <v>1</v>
      </c>
      <c r="J123">
        <f t="shared" si="6"/>
        <v>1</v>
      </c>
      <c r="K123">
        <f t="shared" si="7"/>
        <v>0</v>
      </c>
    </row>
    <row r="124" spans="1:11" x14ac:dyDescent="0.35">
      <c r="A124" s="2" t="s">
        <v>9</v>
      </c>
      <c r="B124" s="2" t="s">
        <v>6</v>
      </c>
      <c r="C124" s="2" t="s">
        <v>21</v>
      </c>
      <c r="D124" s="2" t="s">
        <v>22</v>
      </c>
      <c r="E124" s="2">
        <v>2</v>
      </c>
      <c r="F124" s="2">
        <v>14.26</v>
      </c>
      <c r="G124" s="2">
        <v>2.5</v>
      </c>
      <c r="H124">
        <f t="shared" si="4"/>
        <v>1</v>
      </c>
      <c r="I124">
        <f t="shared" si="5"/>
        <v>1</v>
      </c>
      <c r="J124">
        <f t="shared" si="6"/>
        <v>1</v>
      </c>
      <c r="K124">
        <f t="shared" si="7"/>
        <v>0</v>
      </c>
    </row>
    <row r="125" spans="1:11" x14ac:dyDescent="0.35">
      <c r="A125" s="2" t="s">
        <v>9</v>
      </c>
      <c r="B125" s="2" t="s">
        <v>6</v>
      </c>
      <c r="C125" s="2" t="s">
        <v>21</v>
      </c>
      <c r="D125" s="2" t="s">
        <v>22</v>
      </c>
      <c r="E125" s="2">
        <v>2</v>
      </c>
      <c r="F125" s="2">
        <v>15.95</v>
      </c>
      <c r="G125" s="2">
        <v>2</v>
      </c>
      <c r="H125">
        <f t="shared" si="4"/>
        <v>1</v>
      </c>
      <c r="I125">
        <f t="shared" si="5"/>
        <v>1</v>
      </c>
      <c r="J125">
        <f t="shared" si="6"/>
        <v>1</v>
      </c>
      <c r="K125">
        <f t="shared" si="7"/>
        <v>0</v>
      </c>
    </row>
    <row r="126" spans="1:11" x14ac:dyDescent="0.35">
      <c r="A126" s="2" t="s">
        <v>5</v>
      </c>
      <c r="B126" s="2" t="s">
        <v>6</v>
      </c>
      <c r="C126" s="2" t="s">
        <v>21</v>
      </c>
      <c r="D126" s="2" t="s">
        <v>22</v>
      </c>
      <c r="E126" s="2">
        <v>2</v>
      </c>
      <c r="F126" s="2">
        <v>12.48</v>
      </c>
      <c r="G126" s="2">
        <v>2.52</v>
      </c>
      <c r="H126">
        <f t="shared" si="4"/>
        <v>0</v>
      </c>
      <c r="I126">
        <f t="shared" si="5"/>
        <v>1</v>
      </c>
      <c r="J126">
        <f t="shared" si="6"/>
        <v>1</v>
      </c>
      <c r="K126">
        <f t="shared" si="7"/>
        <v>0</v>
      </c>
    </row>
    <row r="127" spans="1:11" x14ac:dyDescent="0.35">
      <c r="A127" s="2" t="s">
        <v>5</v>
      </c>
      <c r="B127" s="2" t="s">
        <v>6</v>
      </c>
      <c r="C127" s="2" t="s">
        <v>21</v>
      </c>
      <c r="D127" s="2" t="s">
        <v>22</v>
      </c>
      <c r="E127" s="2">
        <v>6</v>
      </c>
      <c r="F127" s="2">
        <v>29.8</v>
      </c>
      <c r="G127" s="2">
        <v>4.2</v>
      </c>
      <c r="H127">
        <f t="shared" si="4"/>
        <v>0</v>
      </c>
      <c r="I127">
        <f t="shared" si="5"/>
        <v>1</v>
      </c>
      <c r="J127">
        <f t="shared" si="6"/>
        <v>1</v>
      </c>
      <c r="K127">
        <f t="shared" si="7"/>
        <v>0</v>
      </c>
    </row>
    <row r="128" spans="1:11" x14ac:dyDescent="0.35">
      <c r="A128" s="2" t="s">
        <v>9</v>
      </c>
      <c r="B128" s="2" t="s">
        <v>6</v>
      </c>
      <c r="C128" s="2" t="s">
        <v>21</v>
      </c>
      <c r="D128" s="2" t="s">
        <v>22</v>
      </c>
      <c r="E128" s="2">
        <v>2</v>
      </c>
      <c r="F128" s="2">
        <v>8.52</v>
      </c>
      <c r="G128" s="2">
        <v>1.48</v>
      </c>
      <c r="H128">
        <f t="shared" si="4"/>
        <v>1</v>
      </c>
      <c r="I128">
        <f t="shared" si="5"/>
        <v>1</v>
      </c>
      <c r="J128">
        <f t="shared" si="6"/>
        <v>1</v>
      </c>
      <c r="K128">
        <f t="shared" si="7"/>
        <v>0</v>
      </c>
    </row>
    <row r="129" spans="1:11" x14ac:dyDescent="0.35">
      <c r="A129" s="2" t="s">
        <v>5</v>
      </c>
      <c r="B129" s="2" t="s">
        <v>6</v>
      </c>
      <c r="C129" s="2" t="s">
        <v>21</v>
      </c>
      <c r="D129" s="2" t="s">
        <v>22</v>
      </c>
      <c r="E129" s="2">
        <v>2</v>
      </c>
      <c r="F129" s="2">
        <v>14.52</v>
      </c>
      <c r="G129" s="2">
        <v>2</v>
      </c>
      <c r="H129">
        <f t="shared" si="4"/>
        <v>0</v>
      </c>
      <c r="I129">
        <f t="shared" si="5"/>
        <v>1</v>
      </c>
      <c r="J129">
        <f t="shared" si="6"/>
        <v>1</v>
      </c>
      <c r="K129">
        <f t="shared" si="7"/>
        <v>0</v>
      </c>
    </row>
    <row r="130" spans="1:11" x14ac:dyDescent="0.35">
      <c r="A130" s="2" t="s">
        <v>5</v>
      </c>
      <c r="B130" s="2" t="s">
        <v>6</v>
      </c>
      <c r="C130" s="2" t="s">
        <v>21</v>
      </c>
      <c r="D130" s="2" t="s">
        <v>22</v>
      </c>
      <c r="E130" s="2">
        <v>2</v>
      </c>
      <c r="F130" s="2">
        <v>11.38</v>
      </c>
      <c r="G130" s="2">
        <v>2</v>
      </c>
      <c r="H130">
        <f t="shared" si="4"/>
        <v>0</v>
      </c>
      <c r="I130">
        <f t="shared" si="5"/>
        <v>1</v>
      </c>
      <c r="J130">
        <f t="shared" si="6"/>
        <v>1</v>
      </c>
      <c r="K130">
        <f t="shared" si="7"/>
        <v>0</v>
      </c>
    </row>
    <row r="131" spans="1:11" x14ac:dyDescent="0.35">
      <c r="A131" s="2" t="s">
        <v>9</v>
      </c>
      <c r="B131" s="2" t="s">
        <v>6</v>
      </c>
      <c r="C131" s="2" t="s">
        <v>21</v>
      </c>
      <c r="D131" s="2" t="s">
        <v>22</v>
      </c>
      <c r="E131" s="2">
        <v>3</v>
      </c>
      <c r="F131" s="2">
        <v>22.82</v>
      </c>
      <c r="G131" s="2">
        <v>2.1800000000000002</v>
      </c>
      <c r="H131">
        <f t="shared" ref="H131:H194" si="8">IF(A131="Male",1,0)</f>
        <v>1</v>
      </c>
      <c r="I131">
        <f t="shared" ref="I131:I194" si="9">IF(B131="No",1,0)</f>
        <v>1</v>
      </c>
      <c r="J131">
        <f t="shared" ref="J131:J194" si="10">IF(C131="Thur",1,IF(C131="Fri",2,IF(C131="Sat",3,4)))</f>
        <v>1</v>
      </c>
      <c r="K131">
        <f t="shared" ref="K131:K194" si="11">IF(D131="Dinner",1,0)</f>
        <v>0</v>
      </c>
    </row>
    <row r="132" spans="1:11" x14ac:dyDescent="0.35">
      <c r="A132" s="2" t="s">
        <v>9</v>
      </c>
      <c r="B132" s="2" t="s">
        <v>6</v>
      </c>
      <c r="C132" s="2" t="s">
        <v>21</v>
      </c>
      <c r="D132" s="2" t="s">
        <v>22</v>
      </c>
      <c r="E132" s="2">
        <v>2</v>
      </c>
      <c r="F132" s="2">
        <v>19.079999999999998</v>
      </c>
      <c r="G132" s="2">
        <v>1.5</v>
      </c>
      <c r="H132">
        <f t="shared" si="8"/>
        <v>1</v>
      </c>
      <c r="I132">
        <f t="shared" si="9"/>
        <v>1</v>
      </c>
      <c r="J132">
        <f t="shared" si="10"/>
        <v>1</v>
      </c>
      <c r="K132">
        <f t="shared" si="11"/>
        <v>0</v>
      </c>
    </row>
    <row r="133" spans="1:11" x14ac:dyDescent="0.35">
      <c r="A133" s="2" t="s">
        <v>5</v>
      </c>
      <c r="B133" s="2" t="s">
        <v>6</v>
      </c>
      <c r="C133" s="2" t="s">
        <v>21</v>
      </c>
      <c r="D133" s="2" t="s">
        <v>22</v>
      </c>
      <c r="E133" s="2">
        <v>2</v>
      </c>
      <c r="F133" s="2">
        <v>20.27</v>
      </c>
      <c r="G133" s="2">
        <v>2.83</v>
      </c>
      <c r="H133">
        <f t="shared" si="8"/>
        <v>0</v>
      </c>
      <c r="I133">
        <f t="shared" si="9"/>
        <v>1</v>
      </c>
      <c r="J133">
        <f t="shared" si="10"/>
        <v>1</v>
      </c>
      <c r="K133">
        <f t="shared" si="11"/>
        <v>0</v>
      </c>
    </row>
    <row r="134" spans="1:11" x14ac:dyDescent="0.35">
      <c r="A134" s="2" t="s">
        <v>5</v>
      </c>
      <c r="B134" s="2" t="s">
        <v>6</v>
      </c>
      <c r="C134" s="2" t="s">
        <v>21</v>
      </c>
      <c r="D134" s="2" t="s">
        <v>22</v>
      </c>
      <c r="E134" s="2">
        <v>2</v>
      </c>
      <c r="F134" s="2">
        <v>11.17</v>
      </c>
      <c r="G134" s="2">
        <v>1.5</v>
      </c>
      <c r="H134">
        <f t="shared" si="8"/>
        <v>0</v>
      </c>
      <c r="I134">
        <f t="shared" si="9"/>
        <v>1</v>
      </c>
      <c r="J134">
        <f t="shared" si="10"/>
        <v>1</v>
      </c>
      <c r="K134">
        <f t="shared" si="11"/>
        <v>0</v>
      </c>
    </row>
    <row r="135" spans="1:11" x14ac:dyDescent="0.35">
      <c r="A135" s="2" t="s">
        <v>5</v>
      </c>
      <c r="B135" s="2" t="s">
        <v>6</v>
      </c>
      <c r="C135" s="2" t="s">
        <v>21</v>
      </c>
      <c r="D135" s="2" t="s">
        <v>22</v>
      </c>
      <c r="E135" s="2">
        <v>2</v>
      </c>
      <c r="F135" s="2">
        <v>12.26</v>
      </c>
      <c r="G135" s="2">
        <v>2</v>
      </c>
      <c r="H135">
        <f t="shared" si="8"/>
        <v>0</v>
      </c>
      <c r="I135">
        <f t="shared" si="9"/>
        <v>1</v>
      </c>
      <c r="J135">
        <f t="shared" si="10"/>
        <v>1</v>
      </c>
      <c r="K135">
        <f t="shared" si="11"/>
        <v>0</v>
      </c>
    </row>
    <row r="136" spans="1:11" x14ac:dyDescent="0.35">
      <c r="A136" s="2" t="s">
        <v>5</v>
      </c>
      <c r="B136" s="2" t="s">
        <v>6</v>
      </c>
      <c r="C136" s="2" t="s">
        <v>21</v>
      </c>
      <c r="D136" s="2" t="s">
        <v>22</v>
      </c>
      <c r="E136" s="2">
        <v>2</v>
      </c>
      <c r="F136" s="2">
        <v>18.260000000000002</v>
      </c>
      <c r="G136" s="2">
        <v>3.25</v>
      </c>
      <c r="H136">
        <f t="shared" si="8"/>
        <v>0</v>
      </c>
      <c r="I136">
        <f t="shared" si="9"/>
        <v>1</v>
      </c>
      <c r="J136">
        <f t="shared" si="10"/>
        <v>1</v>
      </c>
      <c r="K136">
        <f t="shared" si="11"/>
        <v>0</v>
      </c>
    </row>
    <row r="137" spans="1:11" x14ac:dyDescent="0.35">
      <c r="A137" s="2" t="s">
        <v>5</v>
      </c>
      <c r="B137" s="2" t="s">
        <v>6</v>
      </c>
      <c r="C137" s="2" t="s">
        <v>21</v>
      </c>
      <c r="D137" s="2" t="s">
        <v>22</v>
      </c>
      <c r="E137" s="2">
        <v>2</v>
      </c>
      <c r="F137" s="2">
        <v>8.51</v>
      </c>
      <c r="G137" s="2">
        <v>1.25</v>
      </c>
      <c r="H137">
        <f t="shared" si="8"/>
        <v>0</v>
      </c>
      <c r="I137">
        <f t="shared" si="9"/>
        <v>1</v>
      </c>
      <c r="J137">
        <f t="shared" si="10"/>
        <v>1</v>
      </c>
      <c r="K137">
        <f t="shared" si="11"/>
        <v>0</v>
      </c>
    </row>
    <row r="138" spans="1:11" x14ac:dyDescent="0.35">
      <c r="A138" s="2" t="s">
        <v>5</v>
      </c>
      <c r="B138" s="2" t="s">
        <v>6</v>
      </c>
      <c r="C138" s="2" t="s">
        <v>21</v>
      </c>
      <c r="D138" s="2" t="s">
        <v>22</v>
      </c>
      <c r="E138" s="2">
        <v>2</v>
      </c>
      <c r="F138" s="2">
        <v>10.33</v>
      </c>
      <c r="G138" s="2">
        <v>2</v>
      </c>
      <c r="H138">
        <f t="shared" si="8"/>
        <v>0</v>
      </c>
      <c r="I138">
        <f t="shared" si="9"/>
        <v>1</v>
      </c>
      <c r="J138">
        <f t="shared" si="10"/>
        <v>1</v>
      </c>
      <c r="K138">
        <f t="shared" si="11"/>
        <v>0</v>
      </c>
    </row>
    <row r="139" spans="1:11" x14ac:dyDescent="0.35">
      <c r="A139" s="2" t="s">
        <v>5</v>
      </c>
      <c r="B139" s="2" t="s">
        <v>6</v>
      </c>
      <c r="C139" s="2" t="s">
        <v>21</v>
      </c>
      <c r="D139" s="2" t="s">
        <v>22</v>
      </c>
      <c r="E139" s="2">
        <v>2</v>
      </c>
      <c r="F139" s="2">
        <v>14.15</v>
      </c>
      <c r="G139" s="2">
        <v>2</v>
      </c>
      <c r="H139">
        <f t="shared" si="8"/>
        <v>0</v>
      </c>
      <c r="I139">
        <f t="shared" si="9"/>
        <v>1</v>
      </c>
      <c r="J139">
        <f t="shared" si="10"/>
        <v>1</v>
      </c>
      <c r="K139">
        <f t="shared" si="11"/>
        <v>0</v>
      </c>
    </row>
    <row r="140" spans="1:11" x14ac:dyDescent="0.35">
      <c r="A140" s="2" t="s">
        <v>9</v>
      </c>
      <c r="B140" s="2" t="s">
        <v>20</v>
      </c>
      <c r="C140" s="2" t="s">
        <v>21</v>
      </c>
      <c r="D140" s="2" t="s">
        <v>22</v>
      </c>
      <c r="E140" s="2">
        <v>2</v>
      </c>
      <c r="F140" s="2">
        <v>16</v>
      </c>
      <c r="G140" s="2">
        <v>2</v>
      </c>
      <c r="H140">
        <f t="shared" si="8"/>
        <v>1</v>
      </c>
      <c r="I140">
        <f t="shared" si="9"/>
        <v>0</v>
      </c>
      <c r="J140">
        <f t="shared" si="10"/>
        <v>1</v>
      </c>
      <c r="K140">
        <f t="shared" si="11"/>
        <v>0</v>
      </c>
    </row>
    <row r="141" spans="1:11" x14ac:dyDescent="0.35">
      <c r="A141" s="2" t="s">
        <v>5</v>
      </c>
      <c r="B141" s="2" t="s">
        <v>6</v>
      </c>
      <c r="C141" s="2" t="s">
        <v>21</v>
      </c>
      <c r="D141" s="2" t="s">
        <v>22</v>
      </c>
      <c r="E141" s="2">
        <v>2</v>
      </c>
      <c r="F141" s="2">
        <v>13.16</v>
      </c>
      <c r="G141" s="2">
        <v>2.75</v>
      </c>
      <c r="H141">
        <f t="shared" si="8"/>
        <v>0</v>
      </c>
      <c r="I141">
        <f t="shared" si="9"/>
        <v>1</v>
      </c>
      <c r="J141">
        <f t="shared" si="10"/>
        <v>1</v>
      </c>
      <c r="K141">
        <f t="shared" si="11"/>
        <v>0</v>
      </c>
    </row>
    <row r="142" spans="1:11" x14ac:dyDescent="0.35">
      <c r="A142" s="2" t="s">
        <v>5</v>
      </c>
      <c r="B142" s="2" t="s">
        <v>6</v>
      </c>
      <c r="C142" s="2" t="s">
        <v>21</v>
      </c>
      <c r="D142" s="2" t="s">
        <v>22</v>
      </c>
      <c r="E142" s="2">
        <v>2</v>
      </c>
      <c r="F142" s="2">
        <v>17.47</v>
      </c>
      <c r="G142" s="2">
        <v>3.5</v>
      </c>
      <c r="H142">
        <f t="shared" si="8"/>
        <v>0</v>
      </c>
      <c r="I142">
        <f t="shared" si="9"/>
        <v>1</v>
      </c>
      <c r="J142">
        <f t="shared" si="10"/>
        <v>1</v>
      </c>
      <c r="K142">
        <f t="shared" si="11"/>
        <v>0</v>
      </c>
    </row>
    <row r="143" spans="1:11" x14ac:dyDescent="0.35">
      <c r="A143" s="2" t="s">
        <v>9</v>
      </c>
      <c r="B143" s="2" t="s">
        <v>6</v>
      </c>
      <c r="C143" s="2" t="s">
        <v>21</v>
      </c>
      <c r="D143" s="2" t="s">
        <v>22</v>
      </c>
      <c r="E143" s="2">
        <v>6</v>
      </c>
      <c r="F143" s="2">
        <v>34.299999999999997</v>
      </c>
      <c r="G143" s="2">
        <v>6.7</v>
      </c>
      <c r="H143">
        <f t="shared" si="8"/>
        <v>1</v>
      </c>
      <c r="I143">
        <f t="shared" si="9"/>
        <v>1</v>
      </c>
      <c r="J143">
        <f t="shared" si="10"/>
        <v>1</v>
      </c>
      <c r="K143">
        <f t="shared" si="11"/>
        <v>0</v>
      </c>
    </row>
    <row r="144" spans="1:11" x14ac:dyDescent="0.35">
      <c r="A144" s="2" t="s">
        <v>9</v>
      </c>
      <c r="B144" s="2" t="s">
        <v>6</v>
      </c>
      <c r="C144" s="2" t="s">
        <v>21</v>
      </c>
      <c r="D144" s="2" t="s">
        <v>22</v>
      </c>
      <c r="E144" s="2">
        <v>5</v>
      </c>
      <c r="F144" s="2">
        <v>41.19</v>
      </c>
      <c r="G144" s="2">
        <v>5</v>
      </c>
      <c r="H144">
        <f t="shared" si="8"/>
        <v>1</v>
      </c>
      <c r="I144">
        <f t="shared" si="9"/>
        <v>1</v>
      </c>
      <c r="J144">
        <f t="shared" si="10"/>
        <v>1</v>
      </c>
      <c r="K144">
        <f t="shared" si="11"/>
        <v>0</v>
      </c>
    </row>
    <row r="145" spans="1:11" x14ac:dyDescent="0.35">
      <c r="A145" s="2" t="s">
        <v>5</v>
      </c>
      <c r="B145" s="2" t="s">
        <v>6</v>
      </c>
      <c r="C145" s="2" t="s">
        <v>21</v>
      </c>
      <c r="D145" s="2" t="s">
        <v>22</v>
      </c>
      <c r="E145" s="2">
        <v>6</v>
      </c>
      <c r="F145" s="2">
        <v>27.05</v>
      </c>
      <c r="G145" s="2">
        <v>5</v>
      </c>
      <c r="H145">
        <f t="shared" si="8"/>
        <v>0</v>
      </c>
      <c r="I145">
        <f t="shared" si="9"/>
        <v>1</v>
      </c>
      <c r="J145">
        <f t="shared" si="10"/>
        <v>1</v>
      </c>
      <c r="K145">
        <f t="shared" si="11"/>
        <v>0</v>
      </c>
    </row>
    <row r="146" spans="1:11" x14ac:dyDescent="0.35">
      <c r="A146" s="2" t="s">
        <v>5</v>
      </c>
      <c r="B146" s="2" t="s">
        <v>6</v>
      </c>
      <c r="C146" s="2" t="s">
        <v>21</v>
      </c>
      <c r="D146" s="2" t="s">
        <v>22</v>
      </c>
      <c r="E146" s="2">
        <v>2</v>
      </c>
      <c r="F146" s="2">
        <v>16.43</v>
      </c>
      <c r="G146" s="2">
        <v>2.2999999999999998</v>
      </c>
      <c r="H146">
        <f t="shared" si="8"/>
        <v>0</v>
      </c>
      <c r="I146">
        <f t="shared" si="9"/>
        <v>1</v>
      </c>
      <c r="J146">
        <f t="shared" si="10"/>
        <v>1</v>
      </c>
      <c r="K146">
        <f t="shared" si="11"/>
        <v>0</v>
      </c>
    </row>
    <row r="147" spans="1:11" x14ac:dyDescent="0.35">
      <c r="A147" s="2" t="s">
        <v>5</v>
      </c>
      <c r="B147" s="2" t="s">
        <v>6</v>
      </c>
      <c r="C147" s="2" t="s">
        <v>21</v>
      </c>
      <c r="D147" s="2" t="s">
        <v>22</v>
      </c>
      <c r="E147" s="2">
        <v>2</v>
      </c>
      <c r="F147" s="2">
        <v>8.35</v>
      </c>
      <c r="G147" s="2">
        <v>1.5</v>
      </c>
      <c r="H147">
        <f t="shared" si="8"/>
        <v>0</v>
      </c>
      <c r="I147">
        <f t="shared" si="9"/>
        <v>1</v>
      </c>
      <c r="J147">
        <f t="shared" si="10"/>
        <v>1</v>
      </c>
      <c r="K147">
        <f t="shared" si="11"/>
        <v>0</v>
      </c>
    </row>
    <row r="148" spans="1:11" x14ac:dyDescent="0.35">
      <c r="A148" s="2" t="s">
        <v>5</v>
      </c>
      <c r="B148" s="2" t="s">
        <v>6</v>
      </c>
      <c r="C148" s="2" t="s">
        <v>21</v>
      </c>
      <c r="D148" s="2" t="s">
        <v>22</v>
      </c>
      <c r="E148" s="2">
        <v>3</v>
      </c>
      <c r="F148" s="2">
        <v>18.64</v>
      </c>
      <c r="G148" s="2">
        <v>1.36</v>
      </c>
      <c r="H148">
        <f t="shared" si="8"/>
        <v>0</v>
      </c>
      <c r="I148">
        <f t="shared" si="9"/>
        <v>1</v>
      </c>
      <c r="J148">
        <f t="shared" si="10"/>
        <v>1</v>
      </c>
      <c r="K148">
        <f t="shared" si="11"/>
        <v>0</v>
      </c>
    </row>
    <row r="149" spans="1:11" x14ac:dyDescent="0.35">
      <c r="A149" s="2" t="s">
        <v>5</v>
      </c>
      <c r="B149" s="2" t="s">
        <v>6</v>
      </c>
      <c r="C149" s="2" t="s">
        <v>21</v>
      </c>
      <c r="D149" s="2" t="s">
        <v>22</v>
      </c>
      <c r="E149" s="2">
        <v>2</v>
      </c>
      <c r="F149" s="2">
        <v>11.87</v>
      </c>
      <c r="G149" s="2">
        <v>1.63</v>
      </c>
      <c r="H149">
        <f t="shared" si="8"/>
        <v>0</v>
      </c>
      <c r="I149">
        <f t="shared" si="9"/>
        <v>1</v>
      </c>
      <c r="J149">
        <f t="shared" si="10"/>
        <v>1</v>
      </c>
      <c r="K149">
        <f t="shared" si="11"/>
        <v>0</v>
      </c>
    </row>
    <row r="150" spans="1:11" x14ac:dyDescent="0.35">
      <c r="A150" s="2" t="s">
        <v>9</v>
      </c>
      <c r="B150" s="2" t="s">
        <v>6</v>
      </c>
      <c r="C150" s="2" t="s">
        <v>21</v>
      </c>
      <c r="D150" s="2" t="s">
        <v>22</v>
      </c>
      <c r="E150" s="2">
        <v>2</v>
      </c>
      <c r="F150" s="2">
        <v>9.7799999999999994</v>
      </c>
      <c r="G150" s="2">
        <v>1.73</v>
      </c>
      <c r="H150">
        <f t="shared" si="8"/>
        <v>1</v>
      </c>
      <c r="I150">
        <f t="shared" si="9"/>
        <v>1</v>
      </c>
      <c r="J150">
        <f t="shared" si="10"/>
        <v>1</v>
      </c>
      <c r="K150">
        <f t="shared" si="11"/>
        <v>0</v>
      </c>
    </row>
    <row r="151" spans="1:11" x14ac:dyDescent="0.35">
      <c r="A151" s="2" t="s">
        <v>9</v>
      </c>
      <c r="B151" s="2" t="s">
        <v>6</v>
      </c>
      <c r="C151" s="2" t="s">
        <v>21</v>
      </c>
      <c r="D151" s="2" t="s">
        <v>22</v>
      </c>
      <c r="E151" s="2">
        <v>2</v>
      </c>
      <c r="F151" s="2">
        <v>7.51</v>
      </c>
      <c r="G151" s="2">
        <v>2</v>
      </c>
      <c r="H151">
        <f t="shared" si="8"/>
        <v>1</v>
      </c>
      <c r="I151">
        <f t="shared" si="9"/>
        <v>1</v>
      </c>
      <c r="J151">
        <f t="shared" si="10"/>
        <v>1</v>
      </c>
      <c r="K151">
        <f t="shared" si="11"/>
        <v>0</v>
      </c>
    </row>
    <row r="152" spans="1:11" x14ac:dyDescent="0.35">
      <c r="A152" s="2" t="s">
        <v>9</v>
      </c>
      <c r="B152" s="2" t="s">
        <v>6</v>
      </c>
      <c r="C152" s="2" t="s">
        <v>7</v>
      </c>
      <c r="D152" s="2" t="s">
        <v>8</v>
      </c>
      <c r="E152" s="2">
        <v>2</v>
      </c>
      <c r="F152" s="2">
        <v>14.07</v>
      </c>
      <c r="G152" s="2">
        <v>2.5</v>
      </c>
      <c r="H152">
        <f t="shared" si="8"/>
        <v>1</v>
      </c>
      <c r="I152">
        <f t="shared" si="9"/>
        <v>1</v>
      </c>
      <c r="J152">
        <f t="shared" si="10"/>
        <v>4</v>
      </c>
      <c r="K152">
        <f t="shared" si="11"/>
        <v>1</v>
      </c>
    </row>
    <row r="153" spans="1:11" x14ac:dyDescent="0.35">
      <c r="A153" s="2" t="s">
        <v>9</v>
      </c>
      <c r="B153" s="2" t="s">
        <v>6</v>
      </c>
      <c r="C153" s="2" t="s">
        <v>7</v>
      </c>
      <c r="D153" s="2" t="s">
        <v>8</v>
      </c>
      <c r="E153" s="2">
        <v>2</v>
      </c>
      <c r="F153" s="2">
        <v>13.13</v>
      </c>
      <c r="G153" s="2">
        <v>2</v>
      </c>
      <c r="H153">
        <f t="shared" si="8"/>
        <v>1</v>
      </c>
      <c r="I153">
        <f t="shared" si="9"/>
        <v>1</v>
      </c>
      <c r="J153">
        <f t="shared" si="10"/>
        <v>4</v>
      </c>
      <c r="K153">
        <f t="shared" si="11"/>
        <v>1</v>
      </c>
    </row>
    <row r="154" spans="1:11" x14ac:dyDescent="0.35">
      <c r="A154" s="2" t="s">
        <v>9</v>
      </c>
      <c r="B154" s="2" t="s">
        <v>6</v>
      </c>
      <c r="C154" s="2" t="s">
        <v>7</v>
      </c>
      <c r="D154" s="2" t="s">
        <v>8</v>
      </c>
      <c r="E154" s="2">
        <v>3</v>
      </c>
      <c r="F154" s="2">
        <v>17.260000000000002</v>
      </c>
      <c r="G154" s="2">
        <v>2.74</v>
      </c>
      <c r="H154">
        <f t="shared" si="8"/>
        <v>1</v>
      </c>
      <c r="I154">
        <f t="shared" si="9"/>
        <v>1</v>
      </c>
      <c r="J154">
        <f t="shared" si="10"/>
        <v>4</v>
      </c>
      <c r="K154">
        <f t="shared" si="11"/>
        <v>1</v>
      </c>
    </row>
    <row r="155" spans="1:11" x14ac:dyDescent="0.35">
      <c r="A155" s="2" t="s">
        <v>9</v>
      </c>
      <c r="B155" s="2" t="s">
        <v>6</v>
      </c>
      <c r="C155" s="2" t="s">
        <v>7</v>
      </c>
      <c r="D155" s="2" t="s">
        <v>8</v>
      </c>
      <c r="E155" s="2">
        <v>4</v>
      </c>
      <c r="F155" s="2">
        <v>24.55</v>
      </c>
      <c r="G155" s="2">
        <v>2</v>
      </c>
      <c r="H155">
        <f t="shared" si="8"/>
        <v>1</v>
      </c>
      <c r="I155">
        <f t="shared" si="9"/>
        <v>1</v>
      </c>
      <c r="J155">
        <f t="shared" si="10"/>
        <v>4</v>
      </c>
      <c r="K155">
        <f t="shared" si="11"/>
        <v>1</v>
      </c>
    </row>
    <row r="156" spans="1:11" x14ac:dyDescent="0.35">
      <c r="A156" s="2" t="s">
        <v>9</v>
      </c>
      <c r="B156" s="2" t="s">
        <v>6</v>
      </c>
      <c r="C156" s="2" t="s">
        <v>7</v>
      </c>
      <c r="D156" s="2" t="s">
        <v>8</v>
      </c>
      <c r="E156" s="2">
        <v>4</v>
      </c>
      <c r="F156" s="2">
        <v>19.77</v>
      </c>
      <c r="G156" s="2">
        <v>2</v>
      </c>
      <c r="H156">
        <f t="shared" si="8"/>
        <v>1</v>
      </c>
      <c r="I156">
        <f t="shared" si="9"/>
        <v>1</v>
      </c>
      <c r="J156">
        <f t="shared" si="10"/>
        <v>4</v>
      </c>
      <c r="K156">
        <f t="shared" si="11"/>
        <v>1</v>
      </c>
    </row>
    <row r="157" spans="1:11" x14ac:dyDescent="0.35">
      <c r="A157" s="2" t="s">
        <v>5</v>
      </c>
      <c r="B157" s="2" t="s">
        <v>6</v>
      </c>
      <c r="C157" s="2" t="s">
        <v>7</v>
      </c>
      <c r="D157" s="2" t="s">
        <v>8</v>
      </c>
      <c r="E157" s="2">
        <v>5</v>
      </c>
      <c r="F157" s="2">
        <v>29.85</v>
      </c>
      <c r="G157" s="2">
        <v>5.14</v>
      </c>
      <c r="H157">
        <f t="shared" si="8"/>
        <v>0</v>
      </c>
      <c r="I157">
        <f t="shared" si="9"/>
        <v>1</v>
      </c>
      <c r="J157">
        <f t="shared" si="10"/>
        <v>4</v>
      </c>
      <c r="K157">
        <f t="shared" si="11"/>
        <v>1</v>
      </c>
    </row>
    <row r="158" spans="1:11" x14ac:dyDescent="0.35">
      <c r="A158" s="2" t="s">
        <v>9</v>
      </c>
      <c r="B158" s="2" t="s">
        <v>6</v>
      </c>
      <c r="C158" s="2" t="s">
        <v>7</v>
      </c>
      <c r="D158" s="2" t="s">
        <v>8</v>
      </c>
      <c r="E158" s="2">
        <v>6</v>
      </c>
      <c r="F158" s="2">
        <v>48.17</v>
      </c>
      <c r="G158" s="2">
        <v>5</v>
      </c>
      <c r="H158">
        <f t="shared" si="8"/>
        <v>1</v>
      </c>
      <c r="I158">
        <f t="shared" si="9"/>
        <v>1</v>
      </c>
      <c r="J158">
        <f t="shared" si="10"/>
        <v>4</v>
      </c>
      <c r="K158">
        <f t="shared" si="11"/>
        <v>1</v>
      </c>
    </row>
    <row r="159" spans="1:11" x14ac:dyDescent="0.35">
      <c r="A159" s="2" t="s">
        <v>5</v>
      </c>
      <c r="B159" s="2" t="s">
        <v>6</v>
      </c>
      <c r="C159" s="2" t="s">
        <v>7</v>
      </c>
      <c r="D159" s="2" t="s">
        <v>8</v>
      </c>
      <c r="E159" s="2">
        <v>4</v>
      </c>
      <c r="F159" s="2">
        <v>25</v>
      </c>
      <c r="G159" s="2">
        <v>3.75</v>
      </c>
      <c r="H159">
        <f t="shared" si="8"/>
        <v>0</v>
      </c>
      <c r="I159">
        <f t="shared" si="9"/>
        <v>1</v>
      </c>
      <c r="J159">
        <f t="shared" si="10"/>
        <v>4</v>
      </c>
      <c r="K159">
        <f t="shared" si="11"/>
        <v>1</v>
      </c>
    </row>
    <row r="160" spans="1:11" x14ac:dyDescent="0.35">
      <c r="A160" s="2" t="s">
        <v>5</v>
      </c>
      <c r="B160" s="2" t="s">
        <v>6</v>
      </c>
      <c r="C160" s="2" t="s">
        <v>7</v>
      </c>
      <c r="D160" s="2" t="s">
        <v>8</v>
      </c>
      <c r="E160" s="2">
        <v>2</v>
      </c>
      <c r="F160" s="2">
        <v>13.39</v>
      </c>
      <c r="G160" s="2">
        <v>2.61</v>
      </c>
      <c r="H160">
        <f t="shared" si="8"/>
        <v>0</v>
      </c>
      <c r="I160">
        <f t="shared" si="9"/>
        <v>1</v>
      </c>
      <c r="J160">
        <f t="shared" si="10"/>
        <v>4</v>
      </c>
      <c r="K160">
        <f t="shared" si="11"/>
        <v>1</v>
      </c>
    </row>
    <row r="161" spans="1:11" x14ac:dyDescent="0.35">
      <c r="A161" s="2" t="s">
        <v>9</v>
      </c>
      <c r="B161" s="2" t="s">
        <v>6</v>
      </c>
      <c r="C161" s="2" t="s">
        <v>7</v>
      </c>
      <c r="D161" s="2" t="s">
        <v>8</v>
      </c>
      <c r="E161" s="2">
        <v>4</v>
      </c>
      <c r="F161" s="2">
        <v>16.489999999999998</v>
      </c>
      <c r="G161" s="2">
        <v>2</v>
      </c>
      <c r="H161">
        <f t="shared" si="8"/>
        <v>1</v>
      </c>
      <c r="I161">
        <f t="shared" si="9"/>
        <v>1</v>
      </c>
      <c r="J161">
        <f t="shared" si="10"/>
        <v>4</v>
      </c>
      <c r="K161">
        <f t="shared" si="11"/>
        <v>1</v>
      </c>
    </row>
    <row r="162" spans="1:11" x14ac:dyDescent="0.35">
      <c r="A162" s="2" t="s">
        <v>9</v>
      </c>
      <c r="B162" s="2" t="s">
        <v>6</v>
      </c>
      <c r="C162" s="2" t="s">
        <v>7</v>
      </c>
      <c r="D162" s="2" t="s">
        <v>8</v>
      </c>
      <c r="E162" s="2">
        <v>4</v>
      </c>
      <c r="F162" s="2">
        <v>21.5</v>
      </c>
      <c r="G162" s="2">
        <v>3.5</v>
      </c>
      <c r="H162">
        <f t="shared" si="8"/>
        <v>1</v>
      </c>
      <c r="I162">
        <f t="shared" si="9"/>
        <v>1</v>
      </c>
      <c r="J162">
        <f t="shared" si="10"/>
        <v>4</v>
      </c>
      <c r="K162">
        <f t="shared" si="11"/>
        <v>1</v>
      </c>
    </row>
    <row r="163" spans="1:11" x14ac:dyDescent="0.35">
      <c r="A163" s="2" t="s">
        <v>9</v>
      </c>
      <c r="B163" s="2" t="s">
        <v>6</v>
      </c>
      <c r="C163" s="2" t="s">
        <v>7</v>
      </c>
      <c r="D163" s="2" t="s">
        <v>8</v>
      </c>
      <c r="E163" s="2">
        <v>2</v>
      </c>
      <c r="F163" s="2">
        <v>12.66</v>
      </c>
      <c r="G163" s="2">
        <v>2.5</v>
      </c>
      <c r="H163">
        <f t="shared" si="8"/>
        <v>1</v>
      </c>
      <c r="I163">
        <f t="shared" si="9"/>
        <v>1</v>
      </c>
      <c r="J163">
        <f t="shared" si="10"/>
        <v>4</v>
      </c>
      <c r="K163">
        <f t="shared" si="11"/>
        <v>1</v>
      </c>
    </row>
    <row r="164" spans="1:11" x14ac:dyDescent="0.35">
      <c r="A164" s="2" t="s">
        <v>5</v>
      </c>
      <c r="B164" s="2" t="s">
        <v>6</v>
      </c>
      <c r="C164" s="2" t="s">
        <v>7</v>
      </c>
      <c r="D164" s="2" t="s">
        <v>8</v>
      </c>
      <c r="E164" s="2">
        <v>3</v>
      </c>
      <c r="F164" s="2">
        <v>16.21</v>
      </c>
      <c r="G164" s="2">
        <v>2</v>
      </c>
      <c r="H164">
        <f t="shared" si="8"/>
        <v>0</v>
      </c>
      <c r="I164">
        <f t="shared" si="9"/>
        <v>1</v>
      </c>
      <c r="J164">
        <f t="shared" si="10"/>
        <v>4</v>
      </c>
      <c r="K164">
        <f t="shared" si="11"/>
        <v>1</v>
      </c>
    </row>
    <row r="165" spans="1:11" x14ac:dyDescent="0.35">
      <c r="A165" s="2" t="s">
        <v>9</v>
      </c>
      <c r="B165" s="2" t="s">
        <v>6</v>
      </c>
      <c r="C165" s="2" t="s">
        <v>7</v>
      </c>
      <c r="D165" s="2" t="s">
        <v>8</v>
      </c>
      <c r="E165" s="2">
        <v>2</v>
      </c>
      <c r="F165" s="2">
        <v>13.81</v>
      </c>
      <c r="G165" s="2">
        <v>2</v>
      </c>
      <c r="H165">
        <f t="shared" si="8"/>
        <v>1</v>
      </c>
      <c r="I165">
        <f t="shared" si="9"/>
        <v>1</v>
      </c>
      <c r="J165">
        <f t="shared" si="10"/>
        <v>4</v>
      </c>
      <c r="K165">
        <f t="shared" si="11"/>
        <v>1</v>
      </c>
    </row>
    <row r="166" spans="1:11" x14ac:dyDescent="0.35">
      <c r="A166" s="2" t="s">
        <v>5</v>
      </c>
      <c r="B166" s="2" t="s">
        <v>20</v>
      </c>
      <c r="C166" s="2" t="s">
        <v>7</v>
      </c>
      <c r="D166" s="2" t="s">
        <v>8</v>
      </c>
      <c r="E166" s="2">
        <v>2</v>
      </c>
      <c r="F166" s="2">
        <v>17.510000000000002</v>
      </c>
      <c r="G166" s="2">
        <v>3</v>
      </c>
      <c r="H166">
        <f t="shared" si="8"/>
        <v>0</v>
      </c>
      <c r="I166">
        <f t="shared" si="9"/>
        <v>0</v>
      </c>
      <c r="J166">
        <f t="shared" si="10"/>
        <v>4</v>
      </c>
      <c r="K166">
        <f t="shared" si="11"/>
        <v>1</v>
      </c>
    </row>
    <row r="167" spans="1:11" x14ac:dyDescent="0.35">
      <c r="A167" s="2" t="s">
        <v>9</v>
      </c>
      <c r="B167" s="2" t="s">
        <v>6</v>
      </c>
      <c r="C167" s="2" t="s">
        <v>7</v>
      </c>
      <c r="D167" s="2" t="s">
        <v>8</v>
      </c>
      <c r="E167" s="2">
        <v>3</v>
      </c>
      <c r="F167" s="2">
        <v>24.52</v>
      </c>
      <c r="G167" s="2">
        <v>3.48</v>
      </c>
      <c r="H167">
        <f t="shared" si="8"/>
        <v>1</v>
      </c>
      <c r="I167">
        <f t="shared" si="9"/>
        <v>1</v>
      </c>
      <c r="J167">
        <f t="shared" si="10"/>
        <v>4</v>
      </c>
      <c r="K167">
        <f t="shared" si="11"/>
        <v>1</v>
      </c>
    </row>
    <row r="168" spans="1:11" x14ac:dyDescent="0.35">
      <c r="A168" s="2" t="s">
        <v>9</v>
      </c>
      <c r="B168" s="2" t="s">
        <v>6</v>
      </c>
      <c r="C168" s="2" t="s">
        <v>7</v>
      </c>
      <c r="D168" s="2" t="s">
        <v>8</v>
      </c>
      <c r="E168" s="2">
        <v>2</v>
      </c>
      <c r="F168" s="2">
        <v>20.76</v>
      </c>
      <c r="G168" s="2">
        <v>2.2400000000000002</v>
      </c>
      <c r="H168">
        <f t="shared" si="8"/>
        <v>1</v>
      </c>
      <c r="I168">
        <f t="shared" si="9"/>
        <v>1</v>
      </c>
      <c r="J168">
        <f t="shared" si="10"/>
        <v>4</v>
      </c>
      <c r="K168">
        <f t="shared" si="11"/>
        <v>1</v>
      </c>
    </row>
    <row r="169" spans="1:11" x14ac:dyDescent="0.35">
      <c r="A169" s="2" t="s">
        <v>9</v>
      </c>
      <c r="B169" s="2" t="s">
        <v>6</v>
      </c>
      <c r="C169" s="2" t="s">
        <v>7</v>
      </c>
      <c r="D169" s="2" t="s">
        <v>8</v>
      </c>
      <c r="E169" s="2">
        <v>4</v>
      </c>
      <c r="F169" s="2">
        <v>31.71</v>
      </c>
      <c r="G169" s="2">
        <v>4.5</v>
      </c>
      <c r="H169">
        <f t="shared" si="8"/>
        <v>1</v>
      </c>
      <c r="I169">
        <f t="shared" si="9"/>
        <v>1</v>
      </c>
      <c r="J169">
        <f t="shared" si="10"/>
        <v>4</v>
      </c>
      <c r="K169">
        <f t="shared" si="11"/>
        <v>1</v>
      </c>
    </row>
    <row r="170" spans="1:11" x14ac:dyDescent="0.35">
      <c r="A170" s="2" t="s">
        <v>5</v>
      </c>
      <c r="B170" s="2" t="s">
        <v>20</v>
      </c>
      <c r="C170" s="2" t="s">
        <v>19</v>
      </c>
      <c r="D170" s="2" t="s">
        <v>8</v>
      </c>
      <c r="E170" s="2">
        <v>2</v>
      </c>
      <c r="F170" s="2">
        <v>10.59</v>
      </c>
      <c r="G170" s="2">
        <v>1.61</v>
      </c>
      <c r="H170">
        <f t="shared" si="8"/>
        <v>0</v>
      </c>
      <c r="I170">
        <f t="shared" si="9"/>
        <v>0</v>
      </c>
      <c r="J170">
        <f t="shared" si="10"/>
        <v>3</v>
      </c>
      <c r="K170">
        <f t="shared" si="11"/>
        <v>1</v>
      </c>
    </row>
    <row r="171" spans="1:11" x14ac:dyDescent="0.35">
      <c r="A171" s="2" t="s">
        <v>5</v>
      </c>
      <c r="B171" s="2" t="s">
        <v>20</v>
      </c>
      <c r="C171" s="2" t="s">
        <v>19</v>
      </c>
      <c r="D171" s="2" t="s">
        <v>8</v>
      </c>
      <c r="E171" s="2">
        <v>2</v>
      </c>
      <c r="F171" s="2">
        <v>10.63</v>
      </c>
      <c r="G171" s="2">
        <v>2</v>
      </c>
      <c r="H171">
        <f t="shared" si="8"/>
        <v>0</v>
      </c>
      <c r="I171">
        <f t="shared" si="9"/>
        <v>0</v>
      </c>
      <c r="J171">
        <f t="shared" si="10"/>
        <v>3</v>
      </c>
      <c r="K171">
        <f t="shared" si="11"/>
        <v>1</v>
      </c>
    </row>
    <row r="172" spans="1:11" x14ac:dyDescent="0.35">
      <c r="A172" s="2" t="s">
        <v>9</v>
      </c>
      <c r="B172" s="2" t="s">
        <v>20</v>
      </c>
      <c r="C172" s="2" t="s">
        <v>19</v>
      </c>
      <c r="D172" s="2" t="s">
        <v>8</v>
      </c>
      <c r="E172" s="2">
        <v>3</v>
      </c>
      <c r="F172" s="2">
        <v>50.81</v>
      </c>
      <c r="G172" s="2">
        <v>10</v>
      </c>
      <c r="H172">
        <f t="shared" si="8"/>
        <v>1</v>
      </c>
      <c r="I172">
        <f t="shared" si="9"/>
        <v>0</v>
      </c>
      <c r="J172">
        <f t="shared" si="10"/>
        <v>3</v>
      </c>
      <c r="K172">
        <f t="shared" si="11"/>
        <v>1</v>
      </c>
    </row>
    <row r="173" spans="1:11" x14ac:dyDescent="0.35">
      <c r="A173" s="2" t="s">
        <v>9</v>
      </c>
      <c r="B173" s="2" t="s">
        <v>20</v>
      </c>
      <c r="C173" s="2" t="s">
        <v>19</v>
      </c>
      <c r="D173" s="2" t="s">
        <v>8</v>
      </c>
      <c r="E173" s="2">
        <v>2</v>
      </c>
      <c r="F173" s="2">
        <v>15.81</v>
      </c>
      <c r="G173" s="2">
        <v>3.16</v>
      </c>
      <c r="H173">
        <f t="shared" si="8"/>
        <v>1</v>
      </c>
      <c r="I173">
        <f t="shared" si="9"/>
        <v>0</v>
      </c>
      <c r="J173">
        <f t="shared" si="10"/>
        <v>3</v>
      </c>
      <c r="K173">
        <f t="shared" si="11"/>
        <v>1</v>
      </c>
    </row>
    <row r="174" spans="1:11" x14ac:dyDescent="0.35">
      <c r="A174" s="2" t="s">
        <v>9</v>
      </c>
      <c r="B174" s="2" t="s">
        <v>20</v>
      </c>
      <c r="C174" s="2" t="s">
        <v>7</v>
      </c>
      <c r="D174" s="2" t="s">
        <v>8</v>
      </c>
      <c r="E174" s="2">
        <v>2</v>
      </c>
      <c r="F174" s="2">
        <v>7.25</v>
      </c>
      <c r="G174" s="2">
        <v>5.15</v>
      </c>
      <c r="H174">
        <f t="shared" si="8"/>
        <v>1</v>
      </c>
      <c r="I174">
        <f t="shared" si="9"/>
        <v>0</v>
      </c>
      <c r="J174">
        <f t="shared" si="10"/>
        <v>4</v>
      </c>
      <c r="K174">
        <f t="shared" si="11"/>
        <v>1</v>
      </c>
    </row>
    <row r="175" spans="1:11" x14ac:dyDescent="0.35">
      <c r="A175" s="2" t="s">
        <v>9</v>
      </c>
      <c r="B175" s="2" t="s">
        <v>20</v>
      </c>
      <c r="C175" s="2" t="s">
        <v>7</v>
      </c>
      <c r="D175" s="2" t="s">
        <v>8</v>
      </c>
      <c r="E175" s="2">
        <v>2</v>
      </c>
      <c r="F175" s="2">
        <v>31.85</v>
      </c>
      <c r="G175" s="2">
        <v>3.18</v>
      </c>
      <c r="H175">
        <f t="shared" si="8"/>
        <v>1</v>
      </c>
      <c r="I175">
        <f t="shared" si="9"/>
        <v>0</v>
      </c>
      <c r="J175">
        <f t="shared" si="10"/>
        <v>4</v>
      </c>
      <c r="K175">
        <f t="shared" si="11"/>
        <v>1</v>
      </c>
    </row>
    <row r="176" spans="1:11" x14ac:dyDescent="0.35">
      <c r="A176" s="2" t="s">
        <v>9</v>
      </c>
      <c r="B176" s="2" t="s">
        <v>20</v>
      </c>
      <c r="C176" s="2" t="s">
        <v>7</v>
      </c>
      <c r="D176" s="2" t="s">
        <v>8</v>
      </c>
      <c r="E176" s="2">
        <v>2</v>
      </c>
      <c r="F176" s="2">
        <v>16.82</v>
      </c>
      <c r="G176" s="2">
        <v>4</v>
      </c>
      <c r="H176">
        <f t="shared" si="8"/>
        <v>1</v>
      </c>
      <c r="I176">
        <f t="shared" si="9"/>
        <v>0</v>
      </c>
      <c r="J176">
        <f t="shared" si="10"/>
        <v>4</v>
      </c>
      <c r="K176">
        <f t="shared" si="11"/>
        <v>1</v>
      </c>
    </row>
    <row r="177" spans="1:11" x14ac:dyDescent="0.35">
      <c r="A177" s="2" t="s">
        <v>9</v>
      </c>
      <c r="B177" s="2" t="s">
        <v>20</v>
      </c>
      <c r="C177" s="2" t="s">
        <v>7</v>
      </c>
      <c r="D177" s="2" t="s">
        <v>8</v>
      </c>
      <c r="E177" s="2">
        <v>2</v>
      </c>
      <c r="F177" s="2">
        <v>32.9</v>
      </c>
      <c r="G177" s="2">
        <v>3.11</v>
      </c>
      <c r="H177">
        <f t="shared" si="8"/>
        <v>1</v>
      </c>
      <c r="I177">
        <f t="shared" si="9"/>
        <v>0</v>
      </c>
      <c r="J177">
        <f t="shared" si="10"/>
        <v>4</v>
      </c>
      <c r="K177">
        <f t="shared" si="11"/>
        <v>1</v>
      </c>
    </row>
    <row r="178" spans="1:11" x14ac:dyDescent="0.35">
      <c r="A178" s="2" t="s">
        <v>9</v>
      </c>
      <c r="B178" s="2" t="s">
        <v>20</v>
      </c>
      <c r="C178" s="2" t="s">
        <v>7</v>
      </c>
      <c r="D178" s="2" t="s">
        <v>8</v>
      </c>
      <c r="E178" s="2">
        <v>2</v>
      </c>
      <c r="F178" s="2">
        <v>17.89</v>
      </c>
      <c r="G178" s="2">
        <v>2</v>
      </c>
      <c r="H178">
        <f t="shared" si="8"/>
        <v>1</v>
      </c>
      <c r="I178">
        <f t="shared" si="9"/>
        <v>0</v>
      </c>
      <c r="J178">
        <f t="shared" si="10"/>
        <v>4</v>
      </c>
      <c r="K178">
        <f t="shared" si="11"/>
        <v>1</v>
      </c>
    </row>
    <row r="179" spans="1:11" x14ac:dyDescent="0.35">
      <c r="A179" s="2" t="s">
        <v>9</v>
      </c>
      <c r="B179" s="2" t="s">
        <v>20</v>
      </c>
      <c r="C179" s="2" t="s">
        <v>7</v>
      </c>
      <c r="D179" s="2" t="s">
        <v>8</v>
      </c>
      <c r="E179" s="2">
        <v>2</v>
      </c>
      <c r="F179" s="2">
        <v>14.48</v>
      </c>
      <c r="G179" s="2">
        <v>2</v>
      </c>
      <c r="H179">
        <f t="shared" si="8"/>
        <v>1</v>
      </c>
      <c r="I179">
        <f t="shared" si="9"/>
        <v>0</v>
      </c>
      <c r="J179">
        <f t="shared" si="10"/>
        <v>4</v>
      </c>
      <c r="K179">
        <f t="shared" si="11"/>
        <v>1</v>
      </c>
    </row>
    <row r="180" spans="1:11" x14ac:dyDescent="0.35">
      <c r="A180" s="2" t="s">
        <v>5</v>
      </c>
      <c r="B180" s="2" t="s">
        <v>20</v>
      </c>
      <c r="C180" s="2" t="s">
        <v>7</v>
      </c>
      <c r="D180" s="2" t="s">
        <v>8</v>
      </c>
      <c r="E180" s="2">
        <v>2</v>
      </c>
      <c r="F180" s="2">
        <v>9.6</v>
      </c>
      <c r="G180" s="2">
        <v>4</v>
      </c>
      <c r="H180">
        <f t="shared" si="8"/>
        <v>0</v>
      </c>
      <c r="I180">
        <f t="shared" si="9"/>
        <v>0</v>
      </c>
      <c r="J180">
        <f t="shared" si="10"/>
        <v>4</v>
      </c>
      <c r="K180">
        <f t="shared" si="11"/>
        <v>1</v>
      </c>
    </row>
    <row r="181" spans="1:11" x14ac:dyDescent="0.35">
      <c r="A181" s="2" t="s">
        <v>9</v>
      </c>
      <c r="B181" s="2" t="s">
        <v>20</v>
      </c>
      <c r="C181" s="2" t="s">
        <v>7</v>
      </c>
      <c r="D181" s="2" t="s">
        <v>8</v>
      </c>
      <c r="E181" s="2">
        <v>2</v>
      </c>
      <c r="F181" s="2">
        <v>34.630000000000003</v>
      </c>
      <c r="G181" s="2">
        <v>3.55</v>
      </c>
      <c r="H181">
        <f t="shared" si="8"/>
        <v>1</v>
      </c>
      <c r="I181">
        <f t="shared" si="9"/>
        <v>0</v>
      </c>
      <c r="J181">
        <f t="shared" si="10"/>
        <v>4</v>
      </c>
      <c r="K181">
        <f t="shared" si="11"/>
        <v>1</v>
      </c>
    </row>
    <row r="182" spans="1:11" x14ac:dyDescent="0.35">
      <c r="A182" s="2" t="s">
        <v>9</v>
      </c>
      <c r="B182" s="2" t="s">
        <v>20</v>
      </c>
      <c r="C182" s="2" t="s">
        <v>7</v>
      </c>
      <c r="D182" s="2" t="s">
        <v>8</v>
      </c>
      <c r="E182" s="2">
        <v>4</v>
      </c>
      <c r="F182" s="2">
        <v>34.65</v>
      </c>
      <c r="G182" s="2">
        <v>3.68</v>
      </c>
      <c r="H182">
        <f t="shared" si="8"/>
        <v>1</v>
      </c>
      <c r="I182">
        <f t="shared" si="9"/>
        <v>0</v>
      </c>
      <c r="J182">
        <f t="shared" si="10"/>
        <v>4</v>
      </c>
      <c r="K182">
        <f t="shared" si="11"/>
        <v>1</v>
      </c>
    </row>
    <row r="183" spans="1:11" x14ac:dyDescent="0.35">
      <c r="A183" s="2" t="s">
        <v>9</v>
      </c>
      <c r="B183" s="2" t="s">
        <v>20</v>
      </c>
      <c r="C183" s="2" t="s">
        <v>7</v>
      </c>
      <c r="D183" s="2" t="s">
        <v>8</v>
      </c>
      <c r="E183" s="2">
        <v>2</v>
      </c>
      <c r="F183" s="2">
        <v>23.33</v>
      </c>
      <c r="G183" s="2">
        <v>5.65</v>
      </c>
      <c r="H183">
        <f t="shared" si="8"/>
        <v>1</v>
      </c>
      <c r="I183">
        <f t="shared" si="9"/>
        <v>0</v>
      </c>
      <c r="J183">
        <f t="shared" si="10"/>
        <v>4</v>
      </c>
      <c r="K183">
        <f t="shared" si="11"/>
        <v>1</v>
      </c>
    </row>
    <row r="184" spans="1:11" x14ac:dyDescent="0.35">
      <c r="A184" s="2" t="s">
        <v>9</v>
      </c>
      <c r="B184" s="2" t="s">
        <v>20</v>
      </c>
      <c r="C184" s="2" t="s">
        <v>7</v>
      </c>
      <c r="D184" s="2" t="s">
        <v>8</v>
      </c>
      <c r="E184" s="2">
        <v>3</v>
      </c>
      <c r="F184" s="2">
        <v>45.35</v>
      </c>
      <c r="G184" s="2">
        <v>3.5</v>
      </c>
      <c r="H184">
        <f t="shared" si="8"/>
        <v>1</v>
      </c>
      <c r="I184">
        <f t="shared" si="9"/>
        <v>0</v>
      </c>
      <c r="J184">
        <f t="shared" si="10"/>
        <v>4</v>
      </c>
      <c r="K184">
        <f t="shared" si="11"/>
        <v>1</v>
      </c>
    </row>
    <row r="185" spans="1:11" x14ac:dyDescent="0.35">
      <c r="A185" s="2" t="s">
        <v>9</v>
      </c>
      <c r="B185" s="2" t="s">
        <v>20</v>
      </c>
      <c r="C185" s="2" t="s">
        <v>7</v>
      </c>
      <c r="D185" s="2" t="s">
        <v>8</v>
      </c>
      <c r="E185" s="2">
        <v>4</v>
      </c>
      <c r="F185" s="2">
        <v>23.17</v>
      </c>
      <c r="G185" s="2">
        <v>6.5</v>
      </c>
      <c r="H185">
        <f t="shared" si="8"/>
        <v>1</v>
      </c>
      <c r="I185">
        <f t="shared" si="9"/>
        <v>0</v>
      </c>
      <c r="J185">
        <f t="shared" si="10"/>
        <v>4</v>
      </c>
      <c r="K185">
        <f t="shared" si="11"/>
        <v>1</v>
      </c>
    </row>
    <row r="186" spans="1:11" x14ac:dyDescent="0.35">
      <c r="A186" s="2" t="s">
        <v>9</v>
      </c>
      <c r="B186" s="2" t="s">
        <v>20</v>
      </c>
      <c r="C186" s="2" t="s">
        <v>7</v>
      </c>
      <c r="D186" s="2" t="s">
        <v>8</v>
      </c>
      <c r="E186" s="2">
        <v>2</v>
      </c>
      <c r="F186" s="2">
        <v>40.549999999999997</v>
      </c>
      <c r="G186" s="2">
        <v>3</v>
      </c>
      <c r="H186">
        <f t="shared" si="8"/>
        <v>1</v>
      </c>
      <c r="I186">
        <f t="shared" si="9"/>
        <v>0</v>
      </c>
      <c r="J186">
        <f t="shared" si="10"/>
        <v>4</v>
      </c>
      <c r="K186">
        <f t="shared" si="11"/>
        <v>1</v>
      </c>
    </row>
    <row r="187" spans="1:11" x14ac:dyDescent="0.35">
      <c r="A187" s="2" t="s">
        <v>9</v>
      </c>
      <c r="B187" s="2" t="s">
        <v>6</v>
      </c>
      <c r="C187" s="2" t="s">
        <v>7</v>
      </c>
      <c r="D187" s="2" t="s">
        <v>8</v>
      </c>
      <c r="E187" s="2">
        <v>5</v>
      </c>
      <c r="F187" s="2">
        <v>20.69</v>
      </c>
      <c r="G187" s="2">
        <v>5</v>
      </c>
      <c r="H187">
        <f t="shared" si="8"/>
        <v>1</v>
      </c>
      <c r="I187">
        <f t="shared" si="9"/>
        <v>1</v>
      </c>
      <c r="J187">
        <f t="shared" si="10"/>
        <v>4</v>
      </c>
      <c r="K187">
        <f t="shared" si="11"/>
        <v>1</v>
      </c>
    </row>
    <row r="188" spans="1:11" x14ac:dyDescent="0.35">
      <c r="A188" s="2" t="s">
        <v>5</v>
      </c>
      <c r="B188" s="2" t="s">
        <v>20</v>
      </c>
      <c r="C188" s="2" t="s">
        <v>7</v>
      </c>
      <c r="D188" s="2" t="s">
        <v>8</v>
      </c>
      <c r="E188" s="2">
        <v>3</v>
      </c>
      <c r="F188" s="2">
        <v>20.9</v>
      </c>
      <c r="G188" s="2">
        <v>3.5</v>
      </c>
      <c r="H188">
        <f t="shared" si="8"/>
        <v>0</v>
      </c>
      <c r="I188">
        <f t="shared" si="9"/>
        <v>0</v>
      </c>
      <c r="J188">
        <f t="shared" si="10"/>
        <v>4</v>
      </c>
      <c r="K188">
        <f t="shared" si="11"/>
        <v>1</v>
      </c>
    </row>
    <row r="189" spans="1:11" x14ac:dyDescent="0.35">
      <c r="A189" s="2" t="s">
        <v>9</v>
      </c>
      <c r="B189" s="2" t="s">
        <v>20</v>
      </c>
      <c r="C189" s="2" t="s">
        <v>7</v>
      </c>
      <c r="D189" s="2" t="s">
        <v>8</v>
      </c>
      <c r="E189" s="2">
        <v>5</v>
      </c>
      <c r="F189" s="2">
        <v>30.46</v>
      </c>
      <c r="G189" s="2">
        <v>2</v>
      </c>
      <c r="H189">
        <f t="shared" si="8"/>
        <v>1</v>
      </c>
      <c r="I189">
        <f t="shared" si="9"/>
        <v>0</v>
      </c>
      <c r="J189">
        <f t="shared" si="10"/>
        <v>4</v>
      </c>
      <c r="K189">
        <f t="shared" si="11"/>
        <v>1</v>
      </c>
    </row>
    <row r="190" spans="1:11" x14ac:dyDescent="0.35">
      <c r="A190" s="2" t="s">
        <v>5</v>
      </c>
      <c r="B190" s="2" t="s">
        <v>20</v>
      </c>
      <c r="C190" s="2" t="s">
        <v>7</v>
      </c>
      <c r="D190" s="2" t="s">
        <v>8</v>
      </c>
      <c r="E190" s="2">
        <v>3</v>
      </c>
      <c r="F190" s="2">
        <v>18.149999999999999</v>
      </c>
      <c r="G190" s="2">
        <v>3.5</v>
      </c>
      <c r="H190">
        <f t="shared" si="8"/>
        <v>0</v>
      </c>
      <c r="I190">
        <f t="shared" si="9"/>
        <v>0</v>
      </c>
      <c r="J190">
        <f t="shared" si="10"/>
        <v>4</v>
      </c>
      <c r="K190">
        <f t="shared" si="11"/>
        <v>1</v>
      </c>
    </row>
    <row r="191" spans="1:11" x14ac:dyDescent="0.35">
      <c r="A191" s="2" t="s">
        <v>9</v>
      </c>
      <c r="B191" s="2" t="s">
        <v>20</v>
      </c>
      <c r="C191" s="2" t="s">
        <v>7</v>
      </c>
      <c r="D191" s="2" t="s">
        <v>8</v>
      </c>
      <c r="E191" s="2">
        <v>3</v>
      </c>
      <c r="F191" s="2">
        <v>23.1</v>
      </c>
      <c r="G191" s="2">
        <v>4</v>
      </c>
      <c r="H191">
        <f t="shared" si="8"/>
        <v>1</v>
      </c>
      <c r="I191">
        <f t="shared" si="9"/>
        <v>0</v>
      </c>
      <c r="J191">
        <f t="shared" si="10"/>
        <v>4</v>
      </c>
      <c r="K191">
        <f t="shared" si="11"/>
        <v>1</v>
      </c>
    </row>
    <row r="192" spans="1:11" x14ac:dyDescent="0.35">
      <c r="A192" s="2" t="s">
        <v>9</v>
      </c>
      <c r="B192" s="2" t="s">
        <v>20</v>
      </c>
      <c r="C192" s="2" t="s">
        <v>7</v>
      </c>
      <c r="D192" s="2" t="s">
        <v>8</v>
      </c>
      <c r="E192" s="2">
        <v>2</v>
      </c>
      <c r="F192" s="2">
        <v>15.69</v>
      </c>
      <c r="G192" s="2">
        <v>1.5</v>
      </c>
      <c r="H192">
        <f t="shared" si="8"/>
        <v>1</v>
      </c>
      <c r="I192">
        <f t="shared" si="9"/>
        <v>0</v>
      </c>
      <c r="J192">
        <f t="shared" si="10"/>
        <v>4</v>
      </c>
      <c r="K192">
        <f t="shared" si="11"/>
        <v>1</v>
      </c>
    </row>
    <row r="193" spans="1:11" x14ac:dyDescent="0.35">
      <c r="A193" s="2" t="s">
        <v>5</v>
      </c>
      <c r="B193" s="2" t="s">
        <v>20</v>
      </c>
      <c r="C193" s="2" t="s">
        <v>21</v>
      </c>
      <c r="D193" s="2" t="s">
        <v>22</v>
      </c>
      <c r="E193" s="2">
        <v>2</v>
      </c>
      <c r="F193" s="2">
        <v>19.809999999999999</v>
      </c>
      <c r="G193" s="2">
        <v>4.1900000000000004</v>
      </c>
      <c r="H193">
        <f t="shared" si="8"/>
        <v>0</v>
      </c>
      <c r="I193">
        <f t="shared" si="9"/>
        <v>0</v>
      </c>
      <c r="J193">
        <f t="shared" si="10"/>
        <v>1</v>
      </c>
      <c r="K193">
        <f t="shared" si="11"/>
        <v>0</v>
      </c>
    </row>
    <row r="194" spans="1:11" x14ac:dyDescent="0.35">
      <c r="A194" s="2" t="s">
        <v>9</v>
      </c>
      <c r="B194" s="2" t="s">
        <v>20</v>
      </c>
      <c r="C194" s="2" t="s">
        <v>21</v>
      </c>
      <c r="D194" s="2" t="s">
        <v>22</v>
      </c>
      <c r="E194" s="2">
        <v>2</v>
      </c>
      <c r="F194" s="2">
        <v>28.44</v>
      </c>
      <c r="G194" s="2">
        <v>2.56</v>
      </c>
      <c r="H194">
        <f t="shared" si="8"/>
        <v>1</v>
      </c>
      <c r="I194">
        <f t="shared" si="9"/>
        <v>0</v>
      </c>
      <c r="J194">
        <f t="shared" si="10"/>
        <v>1</v>
      </c>
      <c r="K194">
        <f t="shared" si="11"/>
        <v>0</v>
      </c>
    </row>
    <row r="195" spans="1:11" x14ac:dyDescent="0.35">
      <c r="A195" s="2" t="s">
        <v>9</v>
      </c>
      <c r="B195" s="2" t="s">
        <v>20</v>
      </c>
      <c r="C195" s="2" t="s">
        <v>21</v>
      </c>
      <c r="D195" s="2" t="s">
        <v>22</v>
      </c>
      <c r="E195" s="2">
        <v>2</v>
      </c>
      <c r="F195" s="2">
        <v>15.48</v>
      </c>
      <c r="G195" s="2">
        <v>2.02</v>
      </c>
      <c r="H195">
        <f t="shared" ref="H195:H244" si="12">IF(A195="Male",1,0)</f>
        <v>1</v>
      </c>
      <c r="I195">
        <f t="shared" ref="I195:I244" si="13">IF(B195="No",1,0)</f>
        <v>0</v>
      </c>
      <c r="J195">
        <f t="shared" ref="J195:J244" si="14">IF(C195="Thur",1,IF(C195="Fri",2,IF(C195="Sat",3,4)))</f>
        <v>1</v>
      </c>
      <c r="K195">
        <f t="shared" ref="K195:K244" si="15">IF(D195="Dinner",1,0)</f>
        <v>0</v>
      </c>
    </row>
    <row r="196" spans="1:11" x14ac:dyDescent="0.35">
      <c r="A196" s="2" t="s">
        <v>9</v>
      </c>
      <c r="B196" s="2" t="s">
        <v>20</v>
      </c>
      <c r="C196" s="2" t="s">
        <v>21</v>
      </c>
      <c r="D196" s="2" t="s">
        <v>22</v>
      </c>
      <c r="E196" s="2">
        <v>2</v>
      </c>
      <c r="F196" s="2">
        <v>16.579999999999998</v>
      </c>
      <c r="G196" s="2">
        <v>4</v>
      </c>
      <c r="H196">
        <f t="shared" si="12"/>
        <v>1</v>
      </c>
      <c r="I196">
        <f t="shared" si="13"/>
        <v>0</v>
      </c>
      <c r="J196">
        <f t="shared" si="14"/>
        <v>1</v>
      </c>
      <c r="K196">
        <f t="shared" si="15"/>
        <v>0</v>
      </c>
    </row>
    <row r="197" spans="1:11" x14ac:dyDescent="0.35">
      <c r="A197" s="2" t="s">
        <v>9</v>
      </c>
      <c r="B197" s="2" t="s">
        <v>6</v>
      </c>
      <c r="C197" s="2" t="s">
        <v>21</v>
      </c>
      <c r="D197" s="2" t="s">
        <v>22</v>
      </c>
      <c r="E197" s="2">
        <v>2</v>
      </c>
      <c r="F197" s="2">
        <v>7.56</v>
      </c>
      <c r="G197" s="2">
        <v>1.44</v>
      </c>
      <c r="H197">
        <f t="shared" si="12"/>
        <v>1</v>
      </c>
      <c r="I197">
        <f t="shared" si="13"/>
        <v>1</v>
      </c>
      <c r="J197">
        <f t="shared" si="14"/>
        <v>1</v>
      </c>
      <c r="K197">
        <f t="shared" si="15"/>
        <v>0</v>
      </c>
    </row>
    <row r="198" spans="1:11" x14ac:dyDescent="0.35">
      <c r="A198" s="2" t="s">
        <v>9</v>
      </c>
      <c r="B198" s="2" t="s">
        <v>20</v>
      </c>
      <c r="C198" s="2" t="s">
        <v>21</v>
      </c>
      <c r="D198" s="2" t="s">
        <v>22</v>
      </c>
      <c r="E198" s="2">
        <v>2</v>
      </c>
      <c r="F198" s="2">
        <v>10.34</v>
      </c>
      <c r="G198" s="2">
        <v>2</v>
      </c>
      <c r="H198">
        <f t="shared" si="12"/>
        <v>1</v>
      </c>
      <c r="I198">
        <f t="shared" si="13"/>
        <v>0</v>
      </c>
      <c r="J198">
        <f t="shared" si="14"/>
        <v>1</v>
      </c>
      <c r="K198">
        <f t="shared" si="15"/>
        <v>0</v>
      </c>
    </row>
    <row r="199" spans="1:11" x14ac:dyDescent="0.35">
      <c r="A199" s="2" t="s">
        <v>5</v>
      </c>
      <c r="B199" s="2" t="s">
        <v>20</v>
      </c>
      <c r="C199" s="2" t="s">
        <v>21</v>
      </c>
      <c r="D199" s="2" t="s">
        <v>22</v>
      </c>
      <c r="E199" s="2">
        <v>4</v>
      </c>
      <c r="F199" s="2">
        <v>43.11</v>
      </c>
      <c r="G199" s="2">
        <v>5</v>
      </c>
      <c r="H199">
        <f t="shared" si="12"/>
        <v>0</v>
      </c>
      <c r="I199">
        <f t="shared" si="13"/>
        <v>0</v>
      </c>
      <c r="J199">
        <f t="shared" si="14"/>
        <v>1</v>
      </c>
      <c r="K199">
        <f t="shared" si="15"/>
        <v>0</v>
      </c>
    </row>
    <row r="200" spans="1:11" x14ac:dyDescent="0.35">
      <c r="A200" s="2" t="s">
        <v>5</v>
      </c>
      <c r="B200" s="2" t="s">
        <v>20</v>
      </c>
      <c r="C200" s="2" t="s">
        <v>21</v>
      </c>
      <c r="D200" s="2" t="s">
        <v>22</v>
      </c>
      <c r="E200" s="2">
        <v>2</v>
      </c>
      <c r="F200" s="2">
        <v>13</v>
      </c>
      <c r="G200" s="2">
        <v>2</v>
      </c>
      <c r="H200">
        <f t="shared" si="12"/>
        <v>0</v>
      </c>
      <c r="I200">
        <f t="shared" si="13"/>
        <v>0</v>
      </c>
      <c r="J200">
        <f t="shared" si="14"/>
        <v>1</v>
      </c>
      <c r="K200">
        <f t="shared" si="15"/>
        <v>0</v>
      </c>
    </row>
    <row r="201" spans="1:11" x14ac:dyDescent="0.35">
      <c r="A201" s="2" t="s">
        <v>9</v>
      </c>
      <c r="B201" s="2" t="s">
        <v>20</v>
      </c>
      <c r="C201" s="2" t="s">
        <v>21</v>
      </c>
      <c r="D201" s="2" t="s">
        <v>22</v>
      </c>
      <c r="E201" s="2">
        <v>2</v>
      </c>
      <c r="F201" s="2">
        <v>13.51</v>
      </c>
      <c r="G201" s="2">
        <v>2</v>
      </c>
      <c r="H201">
        <f t="shared" si="12"/>
        <v>1</v>
      </c>
      <c r="I201">
        <f t="shared" si="13"/>
        <v>0</v>
      </c>
      <c r="J201">
        <f t="shared" si="14"/>
        <v>1</v>
      </c>
      <c r="K201">
        <f t="shared" si="15"/>
        <v>0</v>
      </c>
    </row>
    <row r="202" spans="1:11" x14ac:dyDescent="0.35">
      <c r="A202" s="2" t="s">
        <v>9</v>
      </c>
      <c r="B202" s="2" t="s">
        <v>20</v>
      </c>
      <c r="C202" s="2" t="s">
        <v>21</v>
      </c>
      <c r="D202" s="2" t="s">
        <v>22</v>
      </c>
      <c r="E202" s="2">
        <v>3</v>
      </c>
      <c r="F202" s="2">
        <v>18.71</v>
      </c>
      <c r="G202" s="2">
        <v>4</v>
      </c>
      <c r="H202">
        <f t="shared" si="12"/>
        <v>1</v>
      </c>
      <c r="I202">
        <f t="shared" si="13"/>
        <v>0</v>
      </c>
      <c r="J202">
        <f t="shared" si="14"/>
        <v>1</v>
      </c>
      <c r="K202">
        <f t="shared" si="15"/>
        <v>0</v>
      </c>
    </row>
    <row r="203" spans="1:11" x14ac:dyDescent="0.35">
      <c r="A203" s="2" t="s">
        <v>5</v>
      </c>
      <c r="B203" s="2" t="s">
        <v>20</v>
      </c>
      <c r="C203" s="2" t="s">
        <v>21</v>
      </c>
      <c r="D203" s="2" t="s">
        <v>22</v>
      </c>
      <c r="E203" s="2">
        <v>2</v>
      </c>
      <c r="F203" s="2">
        <v>12.74</v>
      </c>
      <c r="G203" s="2">
        <v>2.0099999999999998</v>
      </c>
      <c r="H203">
        <f t="shared" si="12"/>
        <v>0</v>
      </c>
      <c r="I203">
        <f t="shared" si="13"/>
        <v>0</v>
      </c>
      <c r="J203">
        <f t="shared" si="14"/>
        <v>1</v>
      </c>
      <c r="K203">
        <f t="shared" si="15"/>
        <v>0</v>
      </c>
    </row>
    <row r="204" spans="1:11" x14ac:dyDescent="0.35">
      <c r="A204" s="2" t="s">
        <v>5</v>
      </c>
      <c r="B204" s="2" t="s">
        <v>20</v>
      </c>
      <c r="C204" s="2" t="s">
        <v>21</v>
      </c>
      <c r="D204" s="2" t="s">
        <v>22</v>
      </c>
      <c r="E204" s="2">
        <v>2</v>
      </c>
      <c r="F204" s="2">
        <v>16.399999999999999</v>
      </c>
      <c r="G204" s="2">
        <v>2.5</v>
      </c>
      <c r="H204">
        <f t="shared" si="12"/>
        <v>0</v>
      </c>
      <c r="I204">
        <f t="shared" si="13"/>
        <v>0</v>
      </c>
      <c r="J204">
        <f t="shared" si="14"/>
        <v>1</v>
      </c>
      <c r="K204">
        <f t="shared" si="15"/>
        <v>0</v>
      </c>
    </row>
    <row r="205" spans="1:11" x14ac:dyDescent="0.35">
      <c r="A205" s="2" t="s">
        <v>9</v>
      </c>
      <c r="B205" s="2" t="s">
        <v>20</v>
      </c>
      <c r="C205" s="2" t="s">
        <v>21</v>
      </c>
      <c r="D205" s="2" t="s">
        <v>22</v>
      </c>
      <c r="E205" s="2">
        <v>4</v>
      </c>
      <c r="F205" s="2">
        <v>20.53</v>
      </c>
      <c r="G205" s="2">
        <v>4</v>
      </c>
      <c r="H205">
        <f t="shared" si="12"/>
        <v>1</v>
      </c>
      <c r="I205">
        <f t="shared" si="13"/>
        <v>0</v>
      </c>
      <c r="J205">
        <f t="shared" si="14"/>
        <v>1</v>
      </c>
      <c r="K205">
        <f t="shared" si="15"/>
        <v>0</v>
      </c>
    </row>
    <row r="206" spans="1:11" x14ac:dyDescent="0.35">
      <c r="A206" s="2" t="s">
        <v>5</v>
      </c>
      <c r="B206" s="2" t="s">
        <v>20</v>
      </c>
      <c r="C206" s="2" t="s">
        <v>21</v>
      </c>
      <c r="D206" s="2" t="s">
        <v>22</v>
      </c>
      <c r="E206" s="2">
        <v>3</v>
      </c>
      <c r="F206" s="2">
        <v>16.47</v>
      </c>
      <c r="G206" s="2">
        <v>3.23</v>
      </c>
      <c r="H206">
        <f t="shared" si="12"/>
        <v>0</v>
      </c>
      <c r="I206">
        <f t="shared" si="13"/>
        <v>0</v>
      </c>
      <c r="J206">
        <f t="shared" si="14"/>
        <v>1</v>
      </c>
      <c r="K206">
        <f t="shared" si="15"/>
        <v>0</v>
      </c>
    </row>
    <row r="207" spans="1:11" x14ac:dyDescent="0.35">
      <c r="A207" s="2" t="s">
        <v>9</v>
      </c>
      <c r="B207" s="2" t="s">
        <v>20</v>
      </c>
      <c r="C207" s="2" t="s">
        <v>19</v>
      </c>
      <c r="D207" s="2" t="s">
        <v>8</v>
      </c>
      <c r="E207" s="2">
        <v>3</v>
      </c>
      <c r="F207" s="2">
        <v>26.59</v>
      </c>
      <c r="G207" s="2">
        <v>3.41</v>
      </c>
      <c r="H207">
        <f t="shared" si="12"/>
        <v>1</v>
      </c>
      <c r="I207">
        <f t="shared" si="13"/>
        <v>0</v>
      </c>
      <c r="J207">
        <f t="shared" si="14"/>
        <v>3</v>
      </c>
      <c r="K207">
        <f t="shared" si="15"/>
        <v>1</v>
      </c>
    </row>
    <row r="208" spans="1:11" x14ac:dyDescent="0.35">
      <c r="A208" s="2" t="s">
        <v>9</v>
      </c>
      <c r="B208" s="2" t="s">
        <v>20</v>
      </c>
      <c r="C208" s="2" t="s">
        <v>19</v>
      </c>
      <c r="D208" s="2" t="s">
        <v>8</v>
      </c>
      <c r="E208" s="2">
        <v>4</v>
      </c>
      <c r="F208" s="2">
        <v>38.729999999999997</v>
      </c>
      <c r="G208" s="2">
        <v>3</v>
      </c>
      <c r="H208">
        <f t="shared" si="12"/>
        <v>1</v>
      </c>
      <c r="I208">
        <f t="shared" si="13"/>
        <v>0</v>
      </c>
      <c r="J208">
        <f t="shared" si="14"/>
        <v>3</v>
      </c>
      <c r="K208">
        <f t="shared" si="15"/>
        <v>1</v>
      </c>
    </row>
    <row r="209" spans="1:11" x14ac:dyDescent="0.35">
      <c r="A209" s="2" t="s">
        <v>9</v>
      </c>
      <c r="B209" s="2" t="s">
        <v>20</v>
      </c>
      <c r="C209" s="2" t="s">
        <v>19</v>
      </c>
      <c r="D209" s="2" t="s">
        <v>8</v>
      </c>
      <c r="E209" s="2">
        <v>2</v>
      </c>
      <c r="F209" s="2">
        <v>24.27</v>
      </c>
      <c r="G209" s="2">
        <v>2.0299999999999998</v>
      </c>
      <c r="H209">
        <f t="shared" si="12"/>
        <v>1</v>
      </c>
      <c r="I209">
        <f t="shared" si="13"/>
        <v>0</v>
      </c>
      <c r="J209">
        <f t="shared" si="14"/>
        <v>3</v>
      </c>
      <c r="K209">
        <f t="shared" si="15"/>
        <v>1</v>
      </c>
    </row>
    <row r="210" spans="1:11" x14ac:dyDescent="0.35">
      <c r="A210" s="2" t="s">
        <v>5</v>
      </c>
      <c r="B210" s="2" t="s">
        <v>20</v>
      </c>
      <c r="C210" s="2" t="s">
        <v>19</v>
      </c>
      <c r="D210" s="2" t="s">
        <v>8</v>
      </c>
      <c r="E210" s="2">
        <v>2</v>
      </c>
      <c r="F210" s="2">
        <v>12.76</v>
      </c>
      <c r="G210" s="2">
        <v>2.23</v>
      </c>
      <c r="H210">
        <f t="shared" si="12"/>
        <v>0</v>
      </c>
      <c r="I210">
        <f t="shared" si="13"/>
        <v>0</v>
      </c>
      <c r="J210">
        <f t="shared" si="14"/>
        <v>3</v>
      </c>
      <c r="K210">
        <f t="shared" si="15"/>
        <v>1</v>
      </c>
    </row>
    <row r="211" spans="1:11" x14ac:dyDescent="0.35">
      <c r="A211" s="2" t="s">
        <v>9</v>
      </c>
      <c r="B211" s="2" t="s">
        <v>20</v>
      </c>
      <c r="C211" s="2" t="s">
        <v>19</v>
      </c>
      <c r="D211" s="2" t="s">
        <v>8</v>
      </c>
      <c r="E211" s="2">
        <v>3</v>
      </c>
      <c r="F211" s="2">
        <v>30.06</v>
      </c>
      <c r="G211" s="2">
        <v>2</v>
      </c>
      <c r="H211">
        <f t="shared" si="12"/>
        <v>1</v>
      </c>
      <c r="I211">
        <f t="shared" si="13"/>
        <v>0</v>
      </c>
      <c r="J211">
        <f t="shared" si="14"/>
        <v>3</v>
      </c>
      <c r="K211">
        <f t="shared" si="15"/>
        <v>1</v>
      </c>
    </row>
    <row r="212" spans="1:11" x14ac:dyDescent="0.35">
      <c r="A212" s="2" t="s">
        <v>9</v>
      </c>
      <c r="B212" s="2" t="s">
        <v>20</v>
      </c>
      <c r="C212" s="2" t="s">
        <v>19</v>
      </c>
      <c r="D212" s="2" t="s">
        <v>8</v>
      </c>
      <c r="E212" s="2">
        <v>4</v>
      </c>
      <c r="F212" s="2">
        <v>25.89</v>
      </c>
      <c r="G212" s="2">
        <v>5.16</v>
      </c>
      <c r="H212">
        <f t="shared" si="12"/>
        <v>1</v>
      </c>
      <c r="I212">
        <f t="shared" si="13"/>
        <v>0</v>
      </c>
      <c r="J212">
        <f t="shared" si="14"/>
        <v>3</v>
      </c>
      <c r="K212">
        <f t="shared" si="15"/>
        <v>1</v>
      </c>
    </row>
    <row r="213" spans="1:11" x14ac:dyDescent="0.35">
      <c r="A213" s="2" t="s">
        <v>9</v>
      </c>
      <c r="B213" s="2" t="s">
        <v>6</v>
      </c>
      <c r="C213" s="2" t="s">
        <v>19</v>
      </c>
      <c r="D213" s="2" t="s">
        <v>8</v>
      </c>
      <c r="E213" s="2">
        <v>4</v>
      </c>
      <c r="F213" s="2">
        <v>48.33</v>
      </c>
      <c r="G213" s="2">
        <v>9</v>
      </c>
      <c r="H213">
        <f t="shared" si="12"/>
        <v>1</v>
      </c>
      <c r="I213">
        <f t="shared" si="13"/>
        <v>1</v>
      </c>
      <c r="J213">
        <f t="shared" si="14"/>
        <v>3</v>
      </c>
      <c r="K213">
        <f t="shared" si="15"/>
        <v>1</v>
      </c>
    </row>
    <row r="214" spans="1:11" x14ac:dyDescent="0.35">
      <c r="A214" s="2" t="s">
        <v>5</v>
      </c>
      <c r="B214" s="2" t="s">
        <v>20</v>
      </c>
      <c r="C214" s="2" t="s">
        <v>19</v>
      </c>
      <c r="D214" s="2" t="s">
        <v>8</v>
      </c>
      <c r="E214" s="2">
        <v>2</v>
      </c>
      <c r="F214" s="2">
        <v>13.27</v>
      </c>
      <c r="G214" s="2">
        <v>2.5</v>
      </c>
      <c r="H214">
        <f t="shared" si="12"/>
        <v>0</v>
      </c>
      <c r="I214">
        <f t="shared" si="13"/>
        <v>0</v>
      </c>
      <c r="J214">
        <f t="shared" si="14"/>
        <v>3</v>
      </c>
      <c r="K214">
        <f t="shared" si="15"/>
        <v>1</v>
      </c>
    </row>
    <row r="215" spans="1:11" x14ac:dyDescent="0.35">
      <c r="A215" s="2" t="s">
        <v>5</v>
      </c>
      <c r="B215" s="2" t="s">
        <v>20</v>
      </c>
      <c r="C215" s="2" t="s">
        <v>19</v>
      </c>
      <c r="D215" s="2" t="s">
        <v>8</v>
      </c>
      <c r="E215" s="2">
        <v>3</v>
      </c>
      <c r="F215" s="2">
        <v>28.17</v>
      </c>
      <c r="G215" s="2">
        <v>6.5</v>
      </c>
      <c r="H215">
        <f t="shared" si="12"/>
        <v>0</v>
      </c>
      <c r="I215">
        <f t="shared" si="13"/>
        <v>0</v>
      </c>
      <c r="J215">
        <f t="shared" si="14"/>
        <v>3</v>
      </c>
      <c r="K215">
        <f t="shared" si="15"/>
        <v>1</v>
      </c>
    </row>
    <row r="216" spans="1:11" x14ac:dyDescent="0.35">
      <c r="A216" s="2" t="s">
        <v>5</v>
      </c>
      <c r="B216" s="2" t="s">
        <v>20</v>
      </c>
      <c r="C216" s="2" t="s">
        <v>19</v>
      </c>
      <c r="D216" s="2" t="s">
        <v>8</v>
      </c>
      <c r="E216" s="2">
        <v>2</v>
      </c>
      <c r="F216" s="2">
        <v>12.9</v>
      </c>
      <c r="G216" s="2">
        <v>1.1000000000000001</v>
      </c>
      <c r="H216">
        <f t="shared" si="12"/>
        <v>0</v>
      </c>
      <c r="I216">
        <f t="shared" si="13"/>
        <v>0</v>
      </c>
      <c r="J216">
        <f t="shared" si="14"/>
        <v>3</v>
      </c>
      <c r="K216">
        <f t="shared" si="15"/>
        <v>1</v>
      </c>
    </row>
    <row r="217" spans="1:11" x14ac:dyDescent="0.35">
      <c r="A217" s="2" t="s">
        <v>9</v>
      </c>
      <c r="B217" s="2" t="s">
        <v>20</v>
      </c>
      <c r="C217" s="2" t="s">
        <v>19</v>
      </c>
      <c r="D217" s="2" t="s">
        <v>8</v>
      </c>
      <c r="E217" s="2">
        <v>5</v>
      </c>
      <c r="F217" s="2">
        <v>28.15</v>
      </c>
      <c r="G217" s="2">
        <v>3</v>
      </c>
      <c r="H217">
        <f t="shared" si="12"/>
        <v>1</v>
      </c>
      <c r="I217">
        <f t="shared" si="13"/>
        <v>0</v>
      </c>
      <c r="J217">
        <f t="shared" si="14"/>
        <v>3</v>
      </c>
      <c r="K217">
        <f t="shared" si="15"/>
        <v>1</v>
      </c>
    </row>
    <row r="218" spans="1:11" x14ac:dyDescent="0.35">
      <c r="A218" s="2" t="s">
        <v>9</v>
      </c>
      <c r="B218" s="2" t="s">
        <v>20</v>
      </c>
      <c r="C218" s="2" t="s">
        <v>19</v>
      </c>
      <c r="D218" s="2" t="s">
        <v>8</v>
      </c>
      <c r="E218" s="2">
        <v>2</v>
      </c>
      <c r="F218" s="2">
        <v>11.59</v>
      </c>
      <c r="G218" s="2">
        <v>1.5</v>
      </c>
      <c r="H218">
        <f t="shared" si="12"/>
        <v>1</v>
      </c>
      <c r="I218">
        <f t="shared" si="13"/>
        <v>0</v>
      </c>
      <c r="J218">
        <f t="shared" si="14"/>
        <v>3</v>
      </c>
      <c r="K218">
        <f t="shared" si="15"/>
        <v>1</v>
      </c>
    </row>
    <row r="219" spans="1:11" x14ac:dyDescent="0.35">
      <c r="A219" s="2" t="s">
        <v>9</v>
      </c>
      <c r="B219" s="2" t="s">
        <v>20</v>
      </c>
      <c r="C219" s="2" t="s">
        <v>19</v>
      </c>
      <c r="D219" s="2" t="s">
        <v>8</v>
      </c>
      <c r="E219" s="2">
        <v>2</v>
      </c>
      <c r="F219" s="2">
        <v>7.74</v>
      </c>
      <c r="G219" s="2">
        <v>1.44</v>
      </c>
      <c r="H219">
        <f t="shared" si="12"/>
        <v>1</v>
      </c>
      <c r="I219">
        <f t="shared" si="13"/>
        <v>0</v>
      </c>
      <c r="J219">
        <f t="shared" si="14"/>
        <v>3</v>
      </c>
      <c r="K219">
        <f t="shared" si="15"/>
        <v>1</v>
      </c>
    </row>
    <row r="220" spans="1:11" x14ac:dyDescent="0.35">
      <c r="A220" s="2" t="s">
        <v>5</v>
      </c>
      <c r="B220" s="2" t="s">
        <v>20</v>
      </c>
      <c r="C220" s="2" t="s">
        <v>19</v>
      </c>
      <c r="D220" s="2" t="s">
        <v>8</v>
      </c>
      <c r="E220" s="2">
        <v>4</v>
      </c>
      <c r="F220" s="2">
        <v>30.14</v>
      </c>
      <c r="G220" s="2">
        <v>3.09</v>
      </c>
      <c r="H220">
        <f t="shared" si="12"/>
        <v>0</v>
      </c>
      <c r="I220">
        <f t="shared" si="13"/>
        <v>0</v>
      </c>
      <c r="J220">
        <f t="shared" si="14"/>
        <v>3</v>
      </c>
      <c r="K220">
        <f t="shared" si="15"/>
        <v>1</v>
      </c>
    </row>
    <row r="221" spans="1:11" x14ac:dyDescent="0.35">
      <c r="A221" s="2" t="s">
        <v>9</v>
      </c>
      <c r="B221" s="2" t="s">
        <v>20</v>
      </c>
      <c r="C221" s="2" t="s">
        <v>23</v>
      </c>
      <c r="D221" s="2" t="s">
        <v>22</v>
      </c>
      <c r="E221" s="2">
        <v>2</v>
      </c>
      <c r="F221" s="2">
        <v>12.16</v>
      </c>
      <c r="G221" s="2">
        <v>2.2000000000000002</v>
      </c>
      <c r="H221">
        <f t="shared" si="12"/>
        <v>1</v>
      </c>
      <c r="I221">
        <f t="shared" si="13"/>
        <v>0</v>
      </c>
      <c r="J221">
        <f t="shared" si="14"/>
        <v>2</v>
      </c>
      <c r="K221">
        <f t="shared" si="15"/>
        <v>0</v>
      </c>
    </row>
    <row r="222" spans="1:11" x14ac:dyDescent="0.35">
      <c r="A222" s="2" t="s">
        <v>5</v>
      </c>
      <c r="B222" s="2" t="s">
        <v>20</v>
      </c>
      <c r="C222" s="2" t="s">
        <v>23</v>
      </c>
      <c r="D222" s="2" t="s">
        <v>22</v>
      </c>
      <c r="E222" s="2">
        <v>2</v>
      </c>
      <c r="F222" s="2">
        <v>13.42</v>
      </c>
      <c r="G222" s="2">
        <v>3.48</v>
      </c>
      <c r="H222">
        <f t="shared" si="12"/>
        <v>0</v>
      </c>
      <c r="I222">
        <f t="shared" si="13"/>
        <v>0</v>
      </c>
      <c r="J222">
        <f t="shared" si="14"/>
        <v>2</v>
      </c>
      <c r="K222">
        <f t="shared" si="15"/>
        <v>0</v>
      </c>
    </row>
    <row r="223" spans="1:11" x14ac:dyDescent="0.35">
      <c r="A223" s="2" t="s">
        <v>9</v>
      </c>
      <c r="B223" s="2" t="s">
        <v>20</v>
      </c>
      <c r="C223" s="2" t="s">
        <v>23</v>
      </c>
      <c r="D223" s="2" t="s">
        <v>22</v>
      </c>
      <c r="E223" s="2">
        <v>1</v>
      </c>
      <c r="F223" s="2">
        <v>8.58</v>
      </c>
      <c r="G223" s="2">
        <v>1.92</v>
      </c>
      <c r="H223">
        <f t="shared" si="12"/>
        <v>1</v>
      </c>
      <c r="I223">
        <f t="shared" si="13"/>
        <v>0</v>
      </c>
      <c r="J223">
        <f t="shared" si="14"/>
        <v>2</v>
      </c>
      <c r="K223">
        <f t="shared" si="15"/>
        <v>0</v>
      </c>
    </row>
    <row r="224" spans="1:11" x14ac:dyDescent="0.35">
      <c r="A224" s="2" t="s">
        <v>5</v>
      </c>
      <c r="B224" s="2" t="s">
        <v>6</v>
      </c>
      <c r="C224" s="2" t="s">
        <v>23</v>
      </c>
      <c r="D224" s="2" t="s">
        <v>22</v>
      </c>
      <c r="E224" s="2">
        <v>3</v>
      </c>
      <c r="F224" s="2">
        <v>15.98</v>
      </c>
      <c r="G224" s="2">
        <v>3</v>
      </c>
      <c r="H224">
        <f t="shared" si="12"/>
        <v>0</v>
      </c>
      <c r="I224">
        <f t="shared" si="13"/>
        <v>1</v>
      </c>
      <c r="J224">
        <f t="shared" si="14"/>
        <v>2</v>
      </c>
      <c r="K224">
        <f t="shared" si="15"/>
        <v>0</v>
      </c>
    </row>
    <row r="225" spans="1:11" x14ac:dyDescent="0.35">
      <c r="A225" s="2" t="s">
        <v>9</v>
      </c>
      <c r="B225" s="2" t="s">
        <v>20</v>
      </c>
      <c r="C225" s="2" t="s">
        <v>23</v>
      </c>
      <c r="D225" s="2" t="s">
        <v>22</v>
      </c>
      <c r="E225" s="2">
        <v>2</v>
      </c>
      <c r="F225" s="2">
        <v>13.42</v>
      </c>
      <c r="G225" s="2">
        <v>1.58</v>
      </c>
      <c r="H225">
        <f t="shared" si="12"/>
        <v>1</v>
      </c>
      <c r="I225">
        <f t="shared" si="13"/>
        <v>0</v>
      </c>
      <c r="J225">
        <f t="shared" si="14"/>
        <v>2</v>
      </c>
      <c r="K225">
        <f t="shared" si="15"/>
        <v>0</v>
      </c>
    </row>
    <row r="226" spans="1:11" x14ac:dyDescent="0.35">
      <c r="A226" s="2" t="s">
        <v>5</v>
      </c>
      <c r="B226" s="2" t="s">
        <v>20</v>
      </c>
      <c r="C226" s="2" t="s">
        <v>23</v>
      </c>
      <c r="D226" s="2" t="s">
        <v>22</v>
      </c>
      <c r="E226" s="2">
        <v>2</v>
      </c>
      <c r="F226" s="2">
        <v>16.27</v>
      </c>
      <c r="G226" s="2">
        <v>2.5</v>
      </c>
      <c r="H226">
        <f t="shared" si="12"/>
        <v>0</v>
      </c>
      <c r="I226">
        <f t="shared" si="13"/>
        <v>0</v>
      </c>
      <c r="J226">
        <f t="shared" si="14"/>
        <v>2</v>
      </c>
      <c r="K226">
        <f t="shared" si="15"/>
        <v>0</v>
      </c>
    </row>
    <row r="227" spans="1:11" x14ac:dyDescent="0.35">
      <c r="A227" s="2" t="s">
        <v>5</v>
      </c>
      <c r="B227" s="2" t="s">
        <v>20</v>
      </c>
      <c r="C227" s="2" t="s">
        <v>23</v>
      </c>
      <c r="D227" s="2" t="s">
        <v>22</v>
      </c>
      <c r="E227" s="2">
        <v>2</v>
      </c>
      <c r="F227" s="2">
        <v>10.09</v>
      </c>
      <c r="G227" s="2">
        <v>2</v>
      </c>
      <c r="H227">
        <f t="shared" si="12"/>
        <v>0</v>
      </c>
      <c r="I227">
        <f t="shared" si="13"/>
        <v>0</v>
      </c>
      <c r="J227">
        <f t="shared" si="14"/>
        <v>2</v>
      </c>
      <c r="K227">
        <f t="shared" si="15"/>
        <v>0</v>
      </c>
    </row>
    <row r="228" spans="1:11" x14ac:dyDescent="0.35">
      <c r="A228" s="2" t="s">
        <v>9</v>
      </c>
      <c r="B228" s="2" t="s">
        <v>6</v>
      </c>
      <c r="C228" s="2" t="s">
        <v>19</v>
      </c>
      <c r="D228" s="2" t="s">
        <v>8</v>
      </c>
      <c r="E228" s="2">
        <v>4</v>
      </c>
      <c r="F228" s="2">
        <v>20.45</v>
      </c>
      <c r="G228" s="2">
        <v>3</v>
      </c>
      <c r="H228">
        <f t="shared" si="12"/>
        <v>1</v>
      </c>
      <c r="I228">
        <f t="shared" si="13"/>
        <v>1</v>
      </c>
      <c r="J228">
        <f t="shared" si="14"/>
        <v>3</v>
      </c>
      <c r="K228">
        <f t="shared" si="15"/>
        <v>1</v>
      </c>
    </row>
    <row r="229" spans="1:11" x14ac:dyDescent="0.35">
      <c r="A229" s="2" t="s">
        <v>9</v>
      </c>
      <c r="B229" s="2" t="s">
        <v>6</v>
      </c>
      <c r="C229" s="2" t="s">
        <v>19</v>
      </c>
      <c r="D229" s="2" t="s">
        <v>8</v>
      </c>
      <c r="E229" s="2">
        <v>2</v>
      </c>
      <c r="F229" s="2">
        <v>13.28</v>
      </c>
      <c r="G229" s="2">
        <v>2.72</v>
      </c>
      <c r="H229">
        <f t="shared" si="12"/>
        <v>1</v>
      </c>
      <c r="I229">
        <f t="shared" si="13"/>
        <v>1</v>
      </c>
      <c r="J229">
        <f t="shared" si="14"/>
        <v>3</v>
      </c>
      <c r="K229">
        <f t="shared" si="15"/>
        <v>1</v>
      </c>
    </row>
    <row r="230" spans="1:11" x14ac:dyDescent="0.35">
      <c r="A230" s="2" t="s">
        <v>5</v>
      </c>
      <c r="B230" s="2" t="s">
        <v>20</v>
      </c>
      <c r="C230" s="2" t="s">
        <v>19</v>
      </c>
      <c r="D230" s="2" t="s">
        <v>8</v>
      </c>
      <c r="E230" s="2">
        <v>2</v>
      </c>
      <c r="F230" s="2">
        <v>22.12</v>
      </c>
      <c r="G230" s="2">
        <v>2.88</v>
      </c>
      <c r="H230">
        <f t="shared" si="12"/>
        <v>0</v>
      </c>
      <c r="I230">
        <f t="shared" si="13"/>
        <v>0</v>
      </c>
      <c r="J230">
        <f t="shared" si="14"/>
        <v>3</v>
      </c>
      <c r="K230">
        <f t="shared" si="15"/>
        <v>1</v>
      </c>
    </row>
    <row r="231" spans="1:11" x14ac:dyDescent="0.35">
      <c r="A231" s="2" t="s">
        <v>9</v>
      </c>
      <c r="B231" s="2" t="s">
        <v>20</v>
      </c>
      <c r="C231" s="2" t="s">
        <v>19</v>
      </c>
      <c r="D231" s="2" t="s">
        <v>8</v>
      </c>
      <c r="E231" s="2">
        <v>4</v>
      </c>
      <c r="F231" s="2">
        <v>24.01</v>
      </c>
      <c r="G231" s="2">
        <v>2</v>
      </c>
      <c r="H231">
        <f t="shared" si="12"/>
        <v>1</v>
      </c>
      <c r="I231">
        <f t="shared" si="13"/>
        <v>0</v>
      </c>
      <c r="J231">
        <f t="shared" si="14"/>
        <v>3</v>
      </c>
      <c r="K231">
        <f t="shared" si="15"/>
        <v>1</v>
      </c>
    </row>
    <row r="232" spans="1:11" x14ac:dyDescent="0.35">
      <c r="A232" s="2" t="s">
        <v>9</v>
      </c>
      <c r="B232" s="2" t="s">
        <v>20</v>
      </c>
      <c r="C232" s="2" t="s">
        <v>19</v>
      </c>
      <c r="D232" s="2" t="s">
        <v>8</v>
      </c>
      <c r="E232" s="2">
        <v>3</v>
      </c>
      <c r="F232" s="2">
        <v>15.69</v>
      </c>
      <c r="G232" s="2">
        <v>3</v>
      </c>
      <c r="H232">
        <f t="shared" si="12"/>
        <v>1</v>
      </c>
      <c r="I232">
        <f t="shared" si="13"/>
        <v>0</v>
      </c>
      <c r="J232">
        <f t="shared" si="14"/>
        <v>3</v>
      </c>
      <c r="K232">
        <f t="shared" si="15"/>
        <v>1</v>
      </c>
    </row>
    <row r="233" spans="1:11" x14ac:dyDescent="0.35">
      <c r="A233" s="2" t="s">
        <v>9</v>
      </c>
      <c r="B233" s="2" t="s">
        <v>6</v>
      </c>
      <c r="C233" s="2" t="s">
        <v>19</v>
      </c>
      <c r="D233" s="2" t="s">
        <v>8</v>
      </c>
      <c r="E233" s="2">
        <v>2</v>
      </c>
      <c r="F233" s="2">
        <v>11.61</v>
      </c>
      <c r="G233" s="2">
        <v>3.39</v>
      </c>
      <c r="H233">
        <f t="shared" si="12"/>
        <v>1</v>
      </c>
      <c r="I233">
        <f t="shared" si="13"/>
        <v>1</v>
      </c>
      <c r="J233">
        <f t="shared" si="14"/>
        <v>3</v>
      </c>
      <c r="K233">
        <f t="shared" si="15"/>
        <v>1</v>
      </c>
    </row>
    <row r="234" spans="1:11" x14ac:dyDescent="0.35">
      <c r="A234" s="2" t="s">
        <v>9</v>
      </c>
      <c r="B234" s="2" t="s">
        <v>6</v>
      </c>
      <c r="C234" s="2" t="s">
        <v>19</v>
      </c>
      <c r="D234" s="2" t="s">
        <v>8</v>
      </c>
      <c r="E234" s="2">
        <v>2</v>
      </c>
      <c r="F234" s="2">
        <v>10.77</v>
      </c>
      <c r="G234" s="2">
        <v>1.47</v>
      </c>
      <c r="H234">
        <f t="shared" si="12"/>
        <v>1</v>
      </c>
      <c r="I234">
        <f t="shared" si="13"/>
        <v>1</v>
      </c>
      <c r="J234">
        <f t="shared" si="14"/>
        <v>3</v>
      </c>
      <c r="K234">
        <f t="shared" si="15"/>
        <v>1</v>
      </c>
    </row>
    <row r="235" spans="1:11" x14ac:dyDescent="0.35">
      <c r="A235" s="2" t="s">
        <v>9</v>
      </c>
      <c r="B235" s="2" t="s">
        <v>20</v>
      </c>
      <c r="C235" s="2" t="s">
        <v>19</v>
      </c>
      <c r="D235" s="2" t="s">
        <v>8</v>
      </c>
      <c r="E235" s="2">
        <v>2</v>
      </c>
      <c r="F235" s="2">
        <v>15.53</v>
      </c>
      <c r="G235" s="2">
        <v>3</v>
      </c>
      <c r="H235">
        <f t="shared" si="12"/>
        <v>1</v>
      </c>
      <c r="I235">
        <f t="shared" si="13"/>
        <v>0</v>
      </c>
      <c r="J235">
        <f t="shared" si="14"/>
        <v>3</v>
      </c>
      <c r="K235">
        <f t="shared" si="15"/>
        <v>1</v>
      </c>
    </row>
    <row r="236" spans="1:11" x14ac:dyDescent="0.35">
      <c r="A236" s="2" t="s">
        <v>9</v>
      </c>
      <c r="B236" s="2" t="s">
        <v>6</v>
      </c>
      <c r="C236" s="2" t="s">
        <v>19</v>
      </c>
      <c r="D236" s="2" t="s">
        <v>8</v>
      </c>
      <c r="E236" s="2">
        <v>2</v>
      </c>
      <c r="F236" s="2">
        <v>10.07</v>
      </c>
      <c r="G236" s="2">
        <v>1.25</v>
      </c>
      <c r="H236">
        <f t="shared" si="12"/>
        <v>1</v>
      </c>
      <c r="I236">
        <f t="shared" si="13"/>
        <v>1</v>
      </c>
      <c r="J236">
        <f t="shared" si="14"/>
        <v>3</v>
      </c>
      <c r="K236">
        <f t="shared" si="15"/>
        <v>1</v>
      </c>
    </row>
    <row r="237" spans="1:11" x14ac:dyDescent="0.35">
      <c r="A237" s="2" t="s">
        <v>9</v>
      </c>
      <c r="B237" s="2" t="s">
        <v>20</v>
      </c>
      <c r="C237" s="2" t="s">
        <v>19</v>
      </c>
      <c r="D237" s="2" t="s">
        <v>8</v>
      </c>
      <c r="E237" s="2">
        <v>2</v>
      </c>
      <c r="F237" s="2">
        <v>12.6</v>
      </c>
      <c r="G237" s="2">
        <v>1</v>
      </c>
      <c r="H237">
        <f t="shared" si="12"/>
        <v>1</v>
      </c>
      <c r="I237">
        <f t="shared" si="13"/>
        <v>0</v>
      </c>
      <c r="J237">
        <f t="shared" si="14"/>
        <v>3</v>
      </c>
      <c r="K237">
        <f t="shared" si="15"/>
        <v>1</v>
      </c>
    </row>
    <row r="238" spans="1:11" x14ac:dyDescent="0.35">
      <c r="A238" s="2" t="s">
        <v>9</v>
      </c>
      <c r="B238" s="2" t="s">
        <v>20</v>
      </c>
      <c r="C238" s="2" t="s">
        <v>19</v>
      </c>
      <c r="D238" s="2" t="s">
        <v>8</v>
      </c>
      <c r="E238" s="2">
        <v>2</v>
      </c>
      <c r="F238" s="2">
        <v>32.83</v>
      </c>
      <c r="G238" s="2">
        <v>1.17</v>
      </c>
      <c r="H238">
        <f t="shared" si="12"/>
        <v>1</v>
      </c>
      <c r="I238">
        <f t="shared" si="13"/>
        <v>0</v>
      </c>
      <c r="J238">
        <f t="shared" si="14"/>
        <v>3</v>
      </c>
      <c r="K238">
        <f t="shared" si="15"/>
        <v>1</v>
      </c>
    </row>
    <row r="239" spans="1:11" x14ac:dyDescent="0.35">
      <c r="A239" s="2" t="s">
        <v>5</v>
      </c>
      <c r="B239" s="2" t="s">
        <v>6</v>
      </c>
      <c r="C239" s="2" t="s">
        <v>19</v>
      </c>
      <c r="D239" s="2" t="s">
        <v>8</v>
      </c>
      <c r="E239" s="2">
        <v>3</v>
      </c>
      <c r="F239" s="2">
        <v>35.83</v>
      </c>
      <c r="G239" s="2">
        <v>4.67</v>
      </c>
      <c r="H239">
        <f t="shared" si="12"/>
        <v>0</v>
      </c>
      <c r="I239">
        <f t="shared" si="13"/>
        <v>1</v>
      </c>
      <c r="J239">
        <f t="shared" si="14"/>
        <v>3</v>
      </c>
      <c r="K239">
        <f t="shared" si="15"/>
        <v>1</v>
      </c>
    </row>
    <row r="240" spans="1:11" x14ac:dyDescent="0.35">
      <c r="A240" s="2" t="s">
        <v>9</v>
      </c>
      <c r="B240" s="2" t="s">
        <v>6</v>
      </c>
      <c r="C240" s="2" t="s">
        <v>19</v>
      </c>
      <c r="D240" s="2" t="s">
        <v>8</v>
      </c>
      <c r="E240" s="2">
        <v>3</v>
      </c>
      <c r="F240" s="2">
        <v>29.03</v>
      </c>
      <c r="G240" s="2">
        <v>5.92</v>
      </c>
      <c r="H240">
        <f t="shared" si="12"/>
        <v>1</v>
      </c>
      <c r="I240">
        <f t="shared" si="13"/>
        <v>1</v>
      </c>
      <c r="J240">
        <f t="shared" si="14"/>
        <v>3</v>
      </c>
      <c r="K240">
        <f t="shared" si="15"/>
        <v>1</v>
      </c>
    </row>
    <row r="241" spans="1:11" x14ac:dyDescent="0.35">
      <c r="A241" s="2" t="s">
        <v>5</v>
      </c>
      <c r="B241" s="2" t="s">
        <v>20</v>
      </c>
      <c r="C241" s="2" t="s">
        <v>19</v>
      </c>
      <c r="D241" s="2" t="s">
        <v>8</v>
      </c>
      <c r="E241" s="2">
        <v>2</v>
      </c>
      <c r="F241" s="2">
        <v>27.18</v>
      </c>
      <c r="G241" s="2">
        <v>2</v>
      </c>
      <c r="H241">
        <f t="shared" si="12"/>
        <v>0</v>
      </c>
      <c r="I241">
        <f t="shared" si="13"/>
        <v>0</v>
      </c>
      <c r="J241">
        <f t="shared" si="14"/>
        <v>3</v>
      </c>
      <c r="K241">
        <f t="shared" si="15"/>
        <v>1</v>
      </c>
    </row>
    <row r="242" spans="1:11" x14ac:dyDescent="0.35">
      <c r="A242" s="2" t="s">
        <v>9</v>
      </c>
      <c r="B242" s="2" t="s">
        <v>20</v>
      </c>
      <c r="C242" s="2" t="s">
        <v>19</v>
      </c>
      <c r="D242" s="2" t="s">
        <v>8</v>
      </c>
      <c r="E242" s="2">
        <v>2</v>
      </c>
      <c r="F242" s="2">
        <v>22.67</v>
      </c>
      <c r="G242" s="2">
        <v>2</v>
      </c>
      <c r="H242">
        <f t="shared" si="12"/>
        <v>1</v>
      </c>
      <c r="I242">
        <f t="shared" si="13"/>
        <v>0</v>
      </c>
      <c r="J242">
        <f t="shared" si="14"/>
        <v>3</v>
      </c>
      <c r="K242">
        <f t="shared" si="15"/>
        <v>1</v>
      </c>
    </row>
    <row r="243" spans="1:11" x14ac:dyDescent="0.35">
      <c r="A243" s="2" t="s">
        <v>9</v>
      </c>
      <c r="B243" s="2" t="s">
        <v>6</v>
      </c>
      <c r="C243" s="2" t="s">
        <v>19</v>
      </c>
      <c r="D243" s="2" t="s">
        <v>8</v>
      </c>
      <c r="E243" s="2">
        <v>2</v>
      </c>
      <c r="F243" s="2">
        <v>17.82</v>
      </c>
      <c r="G243" s="2">
        <v>1.75</v>
      </c>
      <c r="H243">
        <f t="shared" si="12"/>
        <v>1</v>
      </c>
      <c r="I243">
        <f t="shared" si="13"/>
        <v>1</v>
      </c>
      <c r="J243">
        <f t="shared" si="14"/>
        <v>3</v>
      </c>
      <c r="K243">
        <f t="shared" si="15"/>
        <v>1</v>
      </c>
    </row>
    <row r="244" spans="1:11" x14ac:dyDescent="0.35">
      <c r="A244" s="2" t="s">
        <v>5</v>
      </c>
      <c r="B244" s="2" t="s">
        <v>6</v>
      </c>
      <c r="C244" s="2" t="s">
        <v>21</v>
      </c>
      <c r="D244" s="2" t="s">
        <v>8</v>
      </c>
      <c r="E244" s="2">
        <v>2</v>
      </c>
      <c r="F244" s="2">
        <v>18.78</v>
      </c>
      <c r="G244" s="2">
        <v>3</v>
      </c>
      <c r="H244">
        <f t="shared" si="12"/>
        <v>0</v>
      </c>
      <c r="I244">
        <f t="shared" si="13"/>
        <v>1</v>
      </c>
      <c r="J244">
        <f t="shared" si="14"/>
        <v>1</v>
      </c>
      <c r="K244">
        <f t="shared" si="15"/>
        <v>1</v>
      </c>
    </row>
    <row r="1048576" spans="7:7" x14ac:dyDescent="0.35">
      <c r="G1048576" s="2">
        <f>SUM(G2:G1048575)</f>
        <v>729.58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17" sqref="B17"/>
    </sheetView>
  </sheetViews>
  <sheetFormatPr defaultRowHeight="14.5" x14ac:dyDescent="0.35"/>
  <cols>
    <col min="1" max="1" width="12.36328125" customWidth="1"/>
    <col min="2" max="2" width="10.453125" customWidth="1"/>
  </cols>
  <sheetData>
    <row r="1" spans="1:2" x14ac:dyDescent="0.35">
      <c r="A1" s="8" t="s">
        <v>28</v>
      </c>
      <c r="B1" s="9" t="s">
        <v>37</v>
      </c>
    </row>
    <row r="2" spans="1:2" x14ac:dyDescent="0.35">
      <c r="A2" s="10" t="s">
        <v>9</v>
      </c>
      <c r="B2">
        <v>485.07</v>
      </c>
    </row>
    <row r="3" spans="1:2" ht="15" thickBot="1" x14ac:dyDescent="0.4">
      <c r="A3" s="11" t="s">
        <v>5</v>
      </c>
      <c r="B3" s="12">
        <v>244.51</v>
      </c>
    </row>
    <row r="5" spans="1:2" x14ac:dyDescent="0.35">
      <c r="A5" s="5" t="s">
        <v>36</v>
      </c>
      <c r="B5" t="s">
        <v>38</v>
      </c>
    </row>
    <row r="6" spans="1:2" x14ac:dyDescent="0.35">
      <c r="A6" s="6" t="s">
        <v>5</v>
      </c>
      <c r="B6" s="7">
        <v>244.51</v>
      </c>
    </row>
    <row r="7" spans="1:2" x14ac:dyDescent="0.35">
      <c r="A7" s="6" t="s">
        <v>9</v>
      </c>
      <c r="B7" s="7">
        <v>485.07</v>
      </c>
    </row>
    <row r="8" spans="1:2" x14ac:dyDescent="0.35">
      <c r="A8" s="6" t="s">
        <v>35</v>
      </c>
      <c r="B8" s="7">
        <v>729.57999999999993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"/>
  <sheetViews>
    <sheetView workbookViewId="0">
      <selection activeCell="J24" sqref="J24"/>
    </sheetView>
  </sheetViews>
  <sheetFormatPr defaultRowHeight="14.5" x14ac:dyDescent="0.35"/>
  <cols>
    <col min="1" max="1" width="12.36328125" bestFit="1" customWidth="1"/>
    <col min="2" max="2" width="12" bestFit="1" customWidth="1"/>
    <col min="3" max="3" width="12.7265625" bestFit="1" customWidth="1"/>
  </cols>
  <sheetData>
    <row r="1" spans="1:3" x14ac:dyDescent="0.35">
      <c r="A1" s="13" t="s">
        <v>28</v>
      </c>
      <c r="B1" s="13" t="s">
        <v>22</v>
      </c>
      <c r="C1" s="13" t="s">
        <v>8</v>
      </c>
    </row>
    <row r="2" spans="1:3" x14ac:dyDescent="0.35">
      <c r="A2" s="1" t="s">
        <v>9</v>
      </c>
      <c r="B2" s="1">
        <v>95.11</v>
      </c>
      <c r="C2" s="1">
        <v>389.96</v>
      </c>
    </row>
    <row r="3" spans="1:3" x14ac:dyDescent="0.35">
      <c r="A3" s="1" t="s">
        <v>5</v>
      </c>
      <c r="B3" s="1">
        <v>88.4</v>
      </c>
      <c r="C3" s="1">
        <v>156.11000000000001</v>
      </c>
    </row>
    <row r="6" spans="1:3" x14ac:dyDescent="0.35">
      <c r="A6" s="5" t="s">
        <v>36</v>
      </c>
      <c r="B6" t="s">
        <v>39</v>
      </c>
      <c r="C6" t="s">
        <v>40</v>
      </c>
    </row>
    <row r="7" spans="1:3" x14ac:dyDescent="0.35">
      <c r="A7" s="6" t="s">
        <v>5</v>
      </c>
      <c r="B7" s="7">
        <v>88.4</v>
      </c>
      <c r="C7" s="7">
        <v>156.11000000000001</v>
      </c>
    </row>
    <row r="8" spans="1:3" x14ac:dyDescent="0.35">
      <c r="A8" s="6" t="s">
        <v>9</v>
      </c>
      <c r="B8" s="7">
        <v>95.11</v>
      </c>
      <c r="C8" s="7">
        <v>389.96</v>
      </c>
    </row>
    <row r="9" spans="1:3" x14ac:dyDescent="0.35">
      <c r="A9" s="6" t="s">
        <v>35</v>
      </c>
      <c r="B9" s="7">
        <v>183.51</v>
      </c>
      <c r="C9" s="7">
        <v>546.06999999999994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48576"/>
  <sheetViews>
    <sheetView topLeftCell="H1" workbookViewId="0">
      <selection activeCell="L20" sqref="L20"/>
    </sheetView>
  </sheetViews>
  <sheetFormatPr defaultRowHeight="14.5" x14ac:dyDescent="0.35"/>
  <cols>
    <col min="1" max="1" width="0" hidden="1" customWidth="1"/>
    <col min="2" max="2" width="11.81640625" hidden="1" customWidth="1"/>
    <col min="3" max="3" width="11.54296875" hidden="1" customWidth="1"/>
    <col min="4" max="7" width="0" hidden="1" customWidth="1"/>
    <col min="8" max="8" width="11.54296875" bestFit="1" customWidth="1"/>
    <col min="11" max="11" width="12.453125" bestFit="1" customWidth="1"/>
    <col min="12" max="13" width="11.81640625" bestFit="1" customWidth="1"/>
  </cols>
  <sheetData>
    <row r="1" spans="1:15" ht="15.5" x14ac:dyDescent="0.35">
      <c r="A1" s="15" t="s">
        <v>34</v>
      </c>
      <c r="B1" s="15" t="s">
        <v>24</v>
      </c>
      <c r="C1" s="15" t="s">
        <v>25</v>
      </c>
      <c r="D1" t="s">
        <v>26</v>
      </c>
      <c r="E1" t="s">
        <v>27</v>
      </c>
      <c r="F1" t="s">
        <v>32</v>
      </c>
      <c r="G1" t="s">
        <v>33</v>
      </c>
      <c r="K1" s="26" t="s">
        <v>41</v>
      </c>
      <c r="L1" s="26"/>
    </row>
    <row r="2" spans="1:15" x14ac:dyDescent="0.35">
      <c r="A2" s="16">
        <v>1.01</v>
      </c>
      <c r="B2" s="16">
        <v>0</v>
      </c>
      <c r="C2" s="16">
        <v>1</v>
      </c>
      <c r="D2">
        <v>4</v>
      </c>
      <c r="E2">
        <v>1</v>
      </c>
      <c r="F2">
        <v>2</v>
      </c>
      <c r="G2">
        <v>16.989999999999998</v>
      </c>
      <c r="H2" s="15"/>
      <c r="I2" s="16"/>
      <c r="J2" s="16"/>
      <c r="K2" s="15"/>
    </row>
    <row r="3" spans="1:15" x14ac:dyDescent="0.35">
      <c r="A3" s="14">
        <v>1.66</v>
      </c>
      <c r="B3" s="14">
        <v>1</v>
      </c>
      <c r="C3" s="14">
        <v>1</v>
      </c>
      <c r="D3">
        <v>4</v>
      </c>
      <c r="E3">
        <v>1</v>
      </c>
      <c r="F3">
        <v>3</v>
      </c>
      <c r="G3">
        <v>10.34</v>
      </c>
      <c r="H3" s="18"/>
      <c r="I3" s="20" t="s">
        <v>34</v>
      </c>
      <c r="J3" s="20" t="s">
        <v>24</v>
      </c>
      <c r="K3" s="20" t="s">
        <v>25</v>
      </c>
      <c r="L3" s="20" t="s">
        <v>26</v>
      </c>
      <c r="M3" s="20" t="s">
        <v>27</v>
      </c>
      <c r="N3" s="20" t="s">
        <v>32</v>
      </c>
      <c r="O3" s="20" t="s">
        <v>33</v>
      </c>
    </row>
    <row r="4" spans="1:15" x14ac:dyDescent="0.35">
      <c r="A4" s="14">
        <v>3.5</v>
      </c>
      <c r="B4" s="14">
        <v>1</v>
      </c>
      <c r="C4" s="14">
        <v>1</v>
      </c>
      <c r="D4">
        <v>4</v>
      </c>
      <c r="E4">
        <v>1</v>
      </c>
      <c r="F4">
        <v>3</v>
      </c>
      <c r="G4">
        <v>21.01</v>
      </c>
      <c r="H4" s="19" t="s">
        <v>34</v>
      </c>
      <c r="I4" s="21">
        <v>1</v>
      </c>
      <c r="J4" s="21"/>
      <c r="K4" s="21"/>
      <c r="L4" s="21"/>
      <c r="M4" s="21"/>
      <c r="N4" s="21"/>
      <c r="O4" s="21"/>
    </row>
    <row r="5" spans="1:15" x14ac:dyDescent="0.35">
      <c r="A5" s="15">
        <v>3.31</v>
      </c>
      <c r="B5" s="15">
        <v>1</v>
      </c>
      <c r="C5" s="15">
        <v>1</v>
      </c>
      <c r="D5">
        <v>4</v>
      </c>
      <c r="E5">
        <v>1</v>
      </c>
      <c r="F5">
        <v>2</v>
      </c>
      <c r="G5">
        <v>23.68</v>
      </c>
      <c r="H5" s="19" t="s">
        <v>24</v>
      </c>
      <c r="I5" s="21">
        <v>8.5273975201494573E-2</v>
      </c>
      <c r="J5" s="21">
        <v>1</v>
      </c>
      <c r="K5" s="21"/>
      <c r="L5" s="21"/>
      <c r="M5" s="21"/>
      <c r="N5" s="21"/>
      <c r="O5" s="21"/>
    </row>
    <row r="6" spans="1:15" x14ac:dyDescent="0.35">
      <c r="A6" s="15">
        <v>3.61</v>
      </c>
      <c r="B6" s="15">
        <v>0</v>
      </c>
      <c r="C6" s="15">
        <v>1</v>
      </c>
      <c r="D6">
        <v>4</v>
      </c>
      <c r="E6">
        <v>1</v>
      </c>
      <c r="F6">
        <v>4</v>
      </c>
      <c r="G6">
        <v>24.59</v>
      </c>
      <c r="H6" s="19" t="s">
        <v>25</v>
      </c>
      <c r="I6" s="21">
        <v>-9.7627499908010222E-3</v>
      </c>
      <c r="J6" s="21">
        <v>-9.9301879660362389E-3</v>
      </c>
      <c r="K6" s="21">
        <v>1</v>
      </c>
      <c r="L6" s="21"/>
      <c r="M6" s="21"/>
      <c r="N6" s="21"/>
      <c r="O6" s="21"/>
    </row>
    <row r="7" spans="1:15" x14ac:dyDescent="0.35">
      <c r="A7" s="15">
        <v>4.71</v>
      </c>
      <c r="B7" s="15">
        <v>1</v>
      </c>
      <c r="C7" s="15">
        <v>1</v>
      </c>
      <c r="D7">
        <v>4</v>
      </c>
      <c r="E7">
        <v>1</v>
      </c>
      <c r="F7">
        <v>4</v>
      </c>
      <c r="G7">
        <v>25.29</v>
      </c>
      <c r="H7" s="19" t="s">
        <v>26</v>
      </c>
      <c r="I7" s="21">
        <v>0.13179752636389336</v>
      </c>
      <c r="J7" s="21">
        <v>0.22438759825927698</v>
      </c>
      <c r="K7" s="21">
        <v>2.5007759039430796E-2</v>
      </c>
      <c r="L7" s="21">
        <v>1</v>
      </c>
      <c r="M7" s="21"/>
      <c r="N7" s="21"/>
      <c r="O7" s="21"/>
    </row>
    <row r="8" spans="1:15" x14ac:dyDescent="0.35">
      <c r="A8">
        <v>2</v>
      </c>
      <c r="B8">
        <v>1</v>
      </c>
      <c r="C8">
        <v>1</v>
      </c>
      <c r="D8">
        <v>4</v>
      </c>
      <c r="E8">
        <v>1</v>
      </c>
      <c r="F8">
        <v>2</v>
      </c>
      <c r="G8">
        <v>8.77</v>
      </c>
      <c r="H8" s="19" t="s">
        <v>27</v>
      </c>
      <c r="I8" s="21">
        <v>0.117596390271059</v>
      </c>
      <c r="J8" s="21">
        <v>0.19812862318292873</v>
      </c>
      <c r="K8" s="21">
        <v>-6.3911230776324351E-2</v>
      </c>
      <c r="L8" s="21">
        <v>0.87313301491442918</v>
      </c>
      <c r="M8" s="21">
        <v>1</v>
      </c>
      <c r="N8" s="21"/>
      <c r="O8" s="21"/>
    </row>
    <row r="9" spans="1:15" x14ac:dyDescent="0.35">
      <c r="A9">
        <v>3.12</v>
      </c>
      <c r="B9">
        <v>1</v>
      </c>
      <c r="C9">
        <v>1</v>
      </c>
      <c r="D9">
        <v>4</v>
      </c>
      <c r="E9">
        <v>1</v>
      </c>
      <c r="F9">
        <v>4</v>
      </c>
      <c r="G9">
        <v>26.88</v>
      </c>
      <c r="H9" s="19" t="s">
        <v>32</v>
      </c>
      <c r="I9" s="21">
        <v>0.48840039467488378</v>
      </c>
      <c r="J9" s="21">
        <v>8.3248016742296649E-2</v>
      </c>
      <c r="K9" s="21">
        <v>0.13056441135746866</v>
      </c>
      <c r="L9" s="21">
        <v>0.16252471139391592</v>
      </c>
      <c r="M9" s="21">
        <v>0.10004530325852386</v>
      </c>
      <c r="N9" s="21">
        <v>1</v>
      </c>
      <c r="O9" s="21"/>
    </row>
    <row r="10" spans="1:15" x14ac:dyDescent="0.35">
      <c r="A10">
        <v>1.96</v>
      </c>
      <c r="B10">
        <v>1</v>
      </c>
      <c r="C10">
        <v>1</v>
      </c>
      <c r="D10">
        <v>4</v>
      </c>
      <c r="E10">
        <v>1</v>
      </c>
      <c r="F10">
        <v>2</v>
      </c>
      <c r="G10">
        <v>15.04</v>
      </c>
      <c r="H10" s="19" t="s">
        <v>33</v>
      </c>
      <c r="I10" s="21">
        <v>0.6749978565456074</v>
      </c>
      <c r="J10" s="21">
        <v>0.14134974370169556</v>
      </c>
      <c r="K10" s="21">
        <v>-9.0136101893482645E-2</v>
      </c>
      <c r="L10" s="21">
        <v>0.1699781122161266</v>
      </c>
      <c r="M10" s="21">
        <v>0.17923185392494193</v>
      </c>
      <c r="N10" s="21">
        <v>0.59758893106572075</v>
      </c>
      <c r="O10" s="21">
        <v>1</v>
      </c>
    </row>
    <row r="11" spans="1:15" x14ac:dyDescent="0.35">
      <c r="A11">
        <v>3.23</v>
      </c>
      <c r="B11">
        <v>1</v>
      </c>
      <c r="C11">
        <v>1</v>
      </c>
      <c r="D11">
        <v>4</v>
      </c>
      <c r="E11">
        <v>1</v>
      </c>
      <c r="F11">
        <v>2</v>
      </c>
      <c r="G11">
        <v>14.78</v>
      </c>
    </row>
    <row r="12" spans="1:15" x14ac:dyDescent="0.35">
      <c r="A12">
        <v>1.71</v>
      </c>
      <c r="B12">
        <v>1</v>
      </c>
      <c r="C12">
        <v>1</v>
      </c>
      <c r="D12">
        <v>4</v>
      </c>
      <c r="E12">
        <v>1</v>
      </c>
      <c r="F12">
        <v>2</v>
      </c>
      <c r="G12">
        <v>10.27</v>
      </c>
    </row>
    <row r="13" spans="1:15" x14ac:dyDescent="0.35">
      <c r="A13">
        <v>5</v>
      </c>
      <c r="B13">
        <v>0</v>
      </c>
      <c r="C13">
        <v>1</v>
      </c>
      <c r="D13">
        <v>4</v>
      </c>
      <c r="E13">
        <v>1</v>
      </c>
      <c r="F13">
        <v>4</v>
      </c>
      <c r="G13">
        <v>35.26</v>
      </c>
    </row>
    <row r="14" spans="1:15" x14ac:dyDescent="0.35">
      <c r="A14">
        <v>1.57</v>
      </c>
      <c r="B14">
        <v>1</v>
      </c>
      <c r="C14">
        <v>1</v>
      </c>
      <c r="D14">
        <v>4</v>
      </c>
      <c r="E14">
        <v>1</v>
      </c>
      <c r="F14">
        <v>2</v>
      </c>
      <c r="G14">
        <v>15.42</v>
      </c>
    </row>
    <row r="15" spans="1:15" x14ac:dyDescent="0.35">
      <c r="A15">
        <v>3</v>
      </c>
      <c r="B15">
        <v>1</v>
      </c>
      <c r="C15">
        <v>1</v>
      </c>
      <c r="D15">
        <v>4</v>
      </c>
      <c r="E15">
        <v>1</v>
      </c>
      <c r="F15">
        <v>4</v>
      </c>
      <c r="G15">
        <v>18.43</v>
      </c>
    </row>
    <row r="16" spans="1:15" x14ac:dyDescent="0.35">
      <c r="A16">
        <v>3.02</v>
      </c>
      <c r="B16">
        <v>0</v>
      </c>
      <c r="C16">
        <v>1</v>
      </c>
      <c r="D16">
        <v>4</v>
      </c>
      <c r="E16">
        <v>1</v>
      </c>
      <c r="F16">
        <v>2</v>
      </c>
      <c r="G16">
        <v>14.83</v>
      </c>
    </row>
    <row r="17" spans="1:7" x14ac:dyDescent="0.35">
      <c r="A17">
        <v>3.92</v>
      </c>
      <c r="B17">
        <v>1</v>
      </c>
      <c r="C17">
        <v>1</v>
      </c>
      <c r="D17">
        <v>4</v>
      </c>
      <c r="E17">
        <v>1</v>
      </c>
      <c r="F17">
        <v>2</v>
      </c>
      <c r="G17">
        <v>21.58</v>
      </c>
    </row>
    <row r="18" spans="1:7" x14ac:dyDescent="0.35">
      <c r="A18">
        <v>1.67</v>
      </c>
      <c r="B18">
        <v>0</v>
      </c>
      <c r="C18">
        <v>1</v>
      </c>
      <c r="D18">
        <v>4</v>
      </c>
      <c r="E18">
        <v>1</v>
      </c>
      <c r="F18">
        <v>3</v>
      </c>
      <c r="G18">
        <v>10.33</v>
      </c>
    </row>
    <row r="19" spans="1:7" x14ac:dyDescent="0.35">
      <c r="A19">
        <v>3.71</v>
      </c>
      <c r="B19">
        <v>1</v>
      </c>
      <c r="C19">
        <v>1</v>
      </c>
      <c r="D19">
        <v>4</v>
      </c>
      <c r="E19">
        <v>1</v>
      </c>
      <c r="F19">
        <v>3</v>
      </c>
      <c r="G19">
        <v>16.29</v>
      </c>
    </row>
    <row r="20" spans="1:7" x14ac:dyDescent="0.35">
      <c r="A20">
        <v>3.5</v>
      </c>
      <c r="B20">
        <v>0</v>
      </c>
      <c r="C20">
        <v>1</v>
      </c>
      <c r="D20">
        <v>4</v>
      </c>
      <c r="E20">
        <v>1</v>
      </c>
      <c r="F20">
        <v>3</v>
      </c>
      <c r="G20">
        <v>16.97</v>
      </c>
    </row>
    <row r="21" spans="1:7" x14ac:dyDescent="0.35">
      <c r="A21">
        <v>3.35</v>
      </c>
      <c r="B21">
        <v>1</v>
      </c>
      <c r="C21">
        <v>1</v>
      </c>
      <c r="D21">
        <v>3</v>
      </c>
      <c r="E21">
        <v>1</v>
      </c>
      <c r="F21">
        <v>3</v>
      </c>
      <c r="G21">
        <v>20.65</v>
      </c>
    </row>
    <row r="22" spans="1:7" x14ac:dyDescent="0.35">
      <c r="A22">
        <v>4.08</v>
      </c>
      <c r="B22">
        <v>1</v>
      </c>
      <c r="C22">
        <v>1</v>
      </c>
      <c r="D22">
        <v>3</v>
      </c>
      <c r="E22">
        <v>1</v>
      </c>
      <c r="F22">
        <v>2</v>
      </c>
      <c r="G22">
        <v>17.920000000000002</v>
      </c>
    </row>
    <row r="23" spans="1:7" x14ac:dyDescent="0.35">
      <c r="A23">
        <v>2.75</v>
      </c>
      <c r="B23">
        <v>0</v>
      </c>
      <c r="C23">
        <v>1</v>
      </c>
      <c r="D23">
        <v>3</v>
      </c>
      <c r="E23">
        <v>1</v>
      </c>
      <c r="F23">
        <v>2</v>
      </c>
      <c r="G23">
        <v>20.29</v>
      </c>
    </row>
    <row r="24" spans="1:7" x14ac:dyDescent="0.35">
      <c r="A24">
        <v>2.23</v>
      </c>
      <c r="B24">
        <v>0</v>
      </c>
      <c r="C24">
        <v>1</v>
      </c>
      <c r="D24">
        <v>3</v>
      </c>
      <c r="E24">
        <v>1</v>
      </c>
      <c r="F24">
        <v>2</v>
      </c>
      <c r="G24">
        <v>15.77</v>
      </c>
    </row>
    <row r="25" spans="1:7" x14ac:dyDescent="0.35">
      <c r="A25">
        <v>7.58</v>
      </c>
      <c r="B25">
        <v>1</v>
      </c>
      <c r="C25">
        <v>1</v>
      </c>
      <c r="D25">
        <v>3</v>
      </c>
      <c r="E25">
        <v>1</v>
      </c>
      <c r="F25">
        <v>4</v>
      </c>
      <c r="G25">
        <v>39.42</v>
      </c>
    </row>
    <row r="26" spans="1:7" x14ac:dyDescent="0.35">
      <c r="A26">
        <v>3.18</v>
      </c>
      <c r="B26">
        <v>1</v>
      </c>
      <c r="C26">
        <v>1</v>
      </c>
      <c r="D26">
        <v>3</v>
      </c>
      <c r="E26">
        <v>1</v>
      </c>
      <c r="F26">
        <v>2</v>
      </c>
      <c r="G26">
        <v>19.82</v>
      </c>
    </row>
    <row r="27" spans="1:7" x14ac:dyDescent="0.35">
      <c r="A27">
        <v>2.34</v>
      </c>
      <c r="B27">
        <v>1</v>
      </c>
      <c r="C27">
        <v>1</v>
      </c>
      <c r="D27">
        <v>3</v>
      </c>
      <c r="E27">
        <v>1</v>
      </c>
      <c r="F27">
        <v>4</v>
      </c>
      <c r="G27">
        <v>17.809999999999999</v>
      </c>
    </row>
    <row r="28" spans="1:7" x14ac:dyDescent="0.35">
      <c r="A28">
        <v>2</v>
      </c>
      <c r="B28">
        <v>1</v>
      </c>
      <c r="C28">
        <v>1</v>
      </c>
      <c r="D28">
        <v>3</v>
      </c>
      <c r="E28">
        <v>1</v>
      </c>
      <c r="F28">
        <v>2</v>
      </c>
      <c r="G28">
        <v>13.37</v>
      </c>
    </row>
    <row r="29" spans="1:7" x14ac:dyDescent="0.35">
      <c r="A29">
        <v>2</v>
      </c>
      <c r="B29">
        <v>1</v>
      </c>
      <c r="C29">
        <v>1</v>
      </c>
      <c r="D29">
        <v>3</v>
      </c>
      <c r="E29">
        <v>1</v>
      </c>
      <c r="F29">
        <v>2</v>
      </c>
      <c r="G29">
        <v>12.69</v>
      </c>
    </row>
    <row r="30" spans="1:7" x14ac:dyDescent="0.35">
      <c r="A30">
        <v>4.3</v>
      </c>
      <c r="B30">
        <v>1</v>
      </c>
      <c r="C30">
        <v>1</v>
      </c>
      <c r="D30">
        <v>3</v>
      </c>
      <c r="E30">
        <v>1</v>
      </c>
      <c r="F30">
        <v>2</v>
      </c>
      <c r="G30">
        <v>21.7</v>
      </c>
    </row>
    <row r="31" spans="1:7" x14ac:dyDescent="0.35">
      <c r="A31">
        <v>3</v>
      </c>
      <c r="B31">
        <v>0</v>
      </c>
      <c r="C31">
        <v>1</v>
      </c>
      <c r="D31">
        <v>3</v>
      </c>
      <c r="E31">
        <v>1</v>
      </c>
      <c r="F31">
        <v>2</v>
      </c>
      <c r="G31">
        <v>19.649999999999999</v>
      </c>
    </row>
    <row r="32" spans="1:7" x14ac:dyDescent="0.35">
      <c r="A32">
        <v>1.45</v>
      </c>
      <c r="B32">
        <v>1</v>
      </c>
      <c r="C32">
        <v>1</v>
      </c>
      <c r="D32">
        <v>3</v>
      </c>
      <c r="E32">
        <v>1</v>
      </c>
      <c r="F32">
        <v>2</v>
      </c>
      <c r="G32">
        <v>9.5500000000000007</v>
      </c>
    </row>
    <row r="33" spans="1:7" x14ac:dyDescent="0.35">
      <c r="A33">
        <v>2.5</v>
      </c>
      <c r="B33">
        <v>1</v>
      </c>
      <c r="C33">
        <v>1</v>
      </c>
      <c r="D33">
        <v>3</v>
      </c>
      <c r="E33">
        <v>1</v>
      </c>
      <c r="F33">
        <v>4</v>
      </c>
      <c r="G33">
        <v>18.350000000000001</v>
      </c>
    </row>
    <row r="34" spans="1:7" x14ac:dyDescent="0.35">
      <c r="A34">
        <v>3</v>
      </c>
      <c r="B34">
        <v>0</v>
      </c>
      <c r="C34">
        <v>1</v>
      </c>
      <c r="D34">
        <v>3</v>
      </c>
      <c r="E34">
        <v>1</v>
      </c>
      <c r="F34">
        <v>2</v>
      </c>
      <c r="G34">
        <v>15.06</v>
      </c>
    </row>
    <row r="35" spans="1:7" x14ac:dyDescent="0.35">
      <c r="A35">
        <v>2.4500000000000002</v>
      </c>
      <c r="B35">
        <v>0</v>
      </c>
      <c r="C35">
        <v>1</v>
      </c>
      <c r="D35">
        <v>3</v>
      </c>
      <c r="E35">
        <v>1</v>
      </c>
      <c r="F35">
        <v>4</v>
      </c>
      <c r="G35">
        <v>20.69</v>
      </c>
    </row>
    <row r="36" spans="1:7" x14ac:dyDescent="0.35">
      <c r="A36">
        <v>3.27</v>
      </c>
      <c r="B36">
        <v>1</v>
      </c>
      <c r="C36">
        <v>1</v>
      </c>
      <c r="D36">
        <v>3</v>
      </c>
      <c r="E36">
        <v>1</v>
      </c>
      <c r="F36">
        <v>2</v>
      </c>
      <c r="G36">
        <v>17.78</v>
      </c>
    </row>
    <row r="37" spans="1:7" x14ac:dyDescent="0.35">
      <c r="A37">
        <v>3.6</v>
      </c>
      <c r="B37">
        <v>1</v>
      </c>
      <c r="C37">
        <v>1</v>
      </c>
      <c r="D37">
        <v>3</v>
      </c>
      <c r="E37">
        <v>1</v>
      </c>
      <c r="F37">
        <v>3</v>
      </c>
      <c r="G37">
        <v>24.06</v>
      </c>
    </row>
    <row r="38" spans="1:7" x14ac:dyDescent="0.35">
      <c r="A38">
        <v>2</v>
      </c>
      <c r="B38">
        <v>1</v>
      </c>
      <c r="C38">
        <v>1</v>
      </c>
      <c r="D38">
        <v>3</v>
      </c>
      <c r="E38">
        <v>1</v>
      </c>
      <c r="F38">
        <v>3</v>
      </c>
      <c r="G38">
        <v>16.309999999999999</v>
      </c>
    </row>
    <row r="39" spans="1:7" x14ac:dyDescent="0.35">
      <c r="A39">
        <v>3.07</v>
      </c>
      <c r="B39">
        <v>0</v>
      </c>
      <c r="C39">
        <v>1</v>
      </c>
      <c r="D39">
        <v>3</v>
      </c>
      <c r="E39">
        <v>1</v>
      </c>
      <c r="F39">
        <v>3</v>
      </c>
      <c r="G39">
        <v>16.93</v>
      </c>
    </row>
    <row r="40" spans="1:7" x14ac:dyDescent="0.35">
      <c r="A40">
        <v>2.31</v>
      </c>
      <c r="B40">
        <v>1</v>
      </c>
      <c r="C40">
        <v>1</v>
      </c>
      <c r="D40">
        <v>3</v>
      </c>
      <c r="E40">
        <v>1</v>
      </c>
      <c r="F40">
        <v>3</v>
      </c>
      <c r="G40">
        <v>18.690000000000001</v>
      </c>
    </row>
    <row r="41" spans="1:7" x14ac:dyDescent="0.35">
      <c r="A41">
        <v>5</v>
      </c>
      <c r="B41">
        <v>1</v>
      </c>
      <c r="C41">
        <v>1</v>
      </c>
      <c r="D41">
        <v>3</v>
      </c>
      <c r="E41">
        <v>1</v>
      </c>
      <c r="F41">
        <v>3</v>
      </c>
      <c r="G41">
        <v>31.27</v>
      </c>
    </row>
    <row r="42" spans="1:7" x14ac:dyDescent="0.35">
      <c r="A42">
        <v>2.2400000000000002</v>
      </c>
      <c r="B42">
        <v>1</v>
      </c>
      <c r="C42">
        <v>1</v>
      </c>
      <c r="D42">
        <v>3</v>
      </c>
      <c r="E42">
        <v>1</v>
      </c>
      <c r="F42">
        <v>3</v>
      </c>
      <c r="G42">
        <v>16.04</v>
      </c>
    </row>
    <row r="43" spans="1:7" x14ac:dyDescent="0.35">
      <c r="A43">
        <v>2.54</v>
      </c>
      <c r="B43">
        <v>1</v>
      </c>
      <c r="C43">
        <v>1</v>
      </c>
      <c r="D43">
        <v>4</v>
      </c>
      <c r="E43">
        <v>1</v>
      </c>
      <c r="F43">
        <v>2</v>
      </c>
      <c r="G43">
        <v>17.46</v>
      </c>
    </row>
    <row r="44" spans="1:7" x14ac:dyDescent="0.35">
      <c r="A44">
        <v>3.06</v>
      </c>
      <c r="B44">
        <v>1</v>
      </c>
      <c r="C44">
        <v>1</v>
      </c>
      <c r="D44">
        <v>4</v>
      </c>
      <c r="E44">
        <v>1</v>
      </c>
      <c r="F44">
        <v>2</v>
      </c>
      <c r="G44">
        <v>13.94</v>
      </c>
    </row>
    <row r="45" spans="1:7" x14ac:dyDescent="0.35">
      <c r="A45">
        <v>1.32</v>
      </c>
      <c r="B45">
        <v>1</v>
      </c>
      <c r="C45">
        <v>1</v>
      </c>
      <c r="D45">
        <v>4</v>
      </c>
      <c r="E45">
        <v>1</v>
      </c>
      <c r="F45">
        <v>2</v>
      </c>
      <c r="G45">
        <v>9.68</v>
      </c>
    </row>
    <row r="46" spans="1:7" x14ac:dyDescent="0.35">
      <c r="A46">
        <v>5.6</v>
      </c>
      <c r="B46">
        <v>1</v>
      </c>
      <c r="C46">
        <v>1</v>
      </c>
      <c r="D46">
        <v>4</v>
      </c>
      <c r="E46">
        <v>1</v>
      </c>
      <c r="F46">
        <v>4</v>
      </c>
      <c r="G46">
        <v>30.4</v>
      </c>
    </row>
    <row r="47" spans="1:7" x14ac:dyDescent="0.35">
      <c r="A47">
        <v>3</v>
      </c>
      <c r="B47">
        <v>1</v>
      </c>
      <c r="C47">
        <v>1</v>
      </c>
      <c r="D47">
        <v>4</v>
      </c>
      <c r="E47">
        <v>1</v>
      </c>
      <c r="F47">
        <v>2</v>
      </c>
      <c r="G47">
        <v>18.29</v>
      </c>
    </row>
    <row r="48" spans="1:7" x14ac:dyDescent="0.35">
      <c r="A48">
        <v>5</v>
      </c>
      <c r="B48">
        <v>1</v>
      </c>
      <c r="C48">
        <v>1</v>
      </c>
      <c r="D48">
        <v>4</v>
      </c>
      <c r="E48">
        <v>1</v>
      </c>
      <c r="F48">
        <v>2</v>
      </c>
      <c r="G48">
        <v>22.23</v>
      </c>
    </row>
    <row r="49" spans="1:7" x14ac:dyDescent="0.35">
      <c r="A49">
        <v>6</v>
      </c>
      <c r="B49">
        <v>1</v>
      </c>
      <c r="C49">
        <v>1</v>
      </c>
      <c r="D49">
        <v>4</v>
      </c>
      <c r="E49">
        <v>1</v>
      </c>
      <c r="F49">
        <v>4</v>
      </c>
      <c r="G49">
        <v>32.4</v>
      </c>
    </row>
    <row r="50" spans="1:7" x14ac:dyDescent="0.35">
      <c r="A50">
        <v>2.0499999999999998</v>
      </c>
      <c r="B50">
        <v>1</v>
      </c>
      <c r="C50">
        <v>1</v>
      </c>
      <c r="D50">
        <v>4</v>
      </c>
      <c r="E50">
        <v>1</v>
      </c>
      <c r="F50">
        <v>3</v>
      </c>
      <c r="G50">
        <v>28.55</v>
      </c>
    </row>
    <row r="51" spans="1:7" x14ac:dyDescent="0.35">
      <c r="A51">
        <v>3</v>
      </c>
      <c r="B51">
        <v>1</v>
      </c>
      <c r="C51">
        <v>1</v>
      </c>
      <c r="D51">
        <v>4</v>
      </c>
      <c r="E51">
        <v>1</v>
      </c>
      <c r="F51">
        <v>2</v>
      </c>
      <c r="G51">
        <v>18.04</v>
      </c>
    </row>
    <row r="52" spans="1:7" x14ac:dyDescent="0.35">
      <c r="A52">
        <v>2.5</v>
      </c>
      <c r="B52">
        <v>1</v>
      </c>
      <c r="C52">
        <v>1</v>
      </c>
      <c r="D52">
        <v>4</v>
      </c>
      <c r="E52">
        <v>1</v>
      </c>
      <c r="F52">
        <v>2</v>
      </c>
      <c r="G52">
        <v>12.54</v>
      </c>
    </row>
    <row r="53" spans="1:7" x14ac:dyDescent="0.35">
      <c r="A53">
        <v>2.6</v>
      </c>
      <c r="B53">
        <v>0</v>
      </c>
      <c r="C53">
        <v>1</v>
      </c>
      <c r="D53">
        <v>4</v>
      </c>
      <c r="E53">
        <v>1</v>
      </c>
      <c r="F53">
        <v>2</v>
      </c>
      <c r="G53">
        <v>10.29</v>
      </c>
    </row>
    <row r="54" spans="1:7" x14ac:dyDescent="0.35">
      <c r="A54">
        <v>5.2</v>
      </c>
      <c r="B54">
        <v>0</v>
      </c>
      <c r="C54">
        <v>1</v>
      </c>
      <c r="D54">
        <v>4</v>
      </c>
      <c r="E54">
        <v>1</v>
      </c>
      <c r="F54">
        <v>4</v>
      </c>
      <c r="G54">
        <v>34.81</v>
      </c>
    </row>
    <row r="55" spans="1:7" x14ac:dyDescent="0.35">
      <c r="A55">
        <v>1.56</v>
      </c>
      <c r="B55">
        <v>1</v>
      </c>
      <c r="C55">
        <v>1</v>
      </c>
      <c r="D55">
        <v>4</v>
      </c>
      <c r="E55">
        <v>1</v>
      </c>
      <c r="F55">
        <v>2</v>
      </c>
      <c r="G55">
        <v>9.94</v>
      </c>
    </row>
    <row r="56" spans="1:7" x14ac:dyDescent="0.35">
      <c r="A56">
        <v>4.34</v>
      </c>
      <c r="B56">
        <v>1</v>
      </c>
      <c r="C56">
        <v>1</v>
      </c>
      <c r="D56">
        <v>4</v>
      </c>
      <c r="E56">
        <v>1</v>
      </c>
      <c r="F56">
        <v>4</v>
      </c>
      <c r="G56">
        <v>25.56</v>
      </c>
    </row>
    <row r="57" spans="1:7" x14ac:dyDescent="0.35">
      <c r="A57">
        <v>3.51</v>
      </c>
      <c r="B57">
        <v>1</v>
      </c>
      <c r="C57">
        <v>1</v>
      </c>
      <c r="D57">
        <v>4</v>
      </c>
      <c r="E57">
        <v>1</v>
      </c>
      <c r="F57">
        <v>2</v>
      </c>
      <c r="G57">
        <v>19.489999999999998</v>
      </c>
    </row>
    <row r="58" spans="1:7" x14ac:dyDescent="0.35">
      <c r="A58">
        <v>3</v>
      </c>
      <c r="B58">
        <v>1</v>
      </c>
      <c r="C58">
        <v>0</v>
      </c>
      <c r="D58">
        <v>3</v>
      </c>
      <c r="E58">
        <v>1</v>
      </c>
      <c r="F58">
        <v>4</v>
      </c>
      <c r="G58">
        <v>38.01</v>
      </c>
    </row>
    <row r="59" spans="1:7" x14ac:dyDescent="0.35">
      <c r="A59">
        <v>1.5</v>
      </c>
      <c r="B59">
        <v>0</v>
      </c>
      <c r="C59">
        <v>1</v>
      </c>
      <c r="D59">
        <v>3</v>
      </c>
      <c r="E59">
        <v>1</v>
      </c>
      <c r="F59">
        <v>2</v>
      </c>
      <c r="G59">
        <v>26.41</v>
      </c>
    </row>
    <row r="60" spans="1:7" x14ac:dyDescent="0.35">
      <c r="A60">
        <v>1.76</v>
      </c>
      <c r="B60">
        <v>1</v>
      </c>
      <c r="C60">
        <v>0</v>
      </c>
      <c r="D60">
        <v>3</v>
      </c>
      <c r="E60">
        <v>1</v>
      </c>
      <c r="F60">
        <v>2</v>
      </c>
      <c r="G60">
        <v>11.24</v>
      </c>
    </row>
    <row r="61" spans="1:7" x14ac:dyDescent="0.35">
      <c r="A61">
        <v>6.73</v>
      </c>
      <c r="B61">
        <v>1</v>
      </c>
      <c r="C61">
        <v>1</v>
      </c>
      <c r="D61">
        <v>3</v>
      </c>
      <c r="E61">
        <v>1</v>
      </c>
      <c r="F61">
        <v>4</v>
      </c>
      <c r="G61">
        <v>48.27</v>
      </c>
    </row>
    <row r="62" spans="1:7" x14ac:dyDescent="0.35">
      <c r="A62">
        <v>3.21</v>
      </c>
      <c r="B62">
        <v>1</v>
      </c>
      <c r="C62">
        <v>0</v>
      </c>
      <c r="D62">
        <v>3</v>
      </c>
      <c r="E62">
        <v>1</v>
      </c>
      <c r="F62">
        <v>2</v>
      </c>
      <c r="G62">
        <v>20.29</v>
      </c>
    </row>
    <row r="63" spans="1:7" x14ac:dyDescent="0.35">
      <c r="A63">
        <v>2</v>
      </c>
      <c r="B63">
        <v>1</v>
      </c>
      <c r="C63">
        <v>0</v>
      </c>
      <c r="D63">
        <v>3</v>
      </c>
      <c r="E63">
        <v>1</v>
      </c>
      <c r="F63">
        <v>2</v>
      </c>
      <c r="G63">
        <v>13.81</v>
      </c>
    </row>
    <row r="64" spans="1:7" x14ac:dyDescent="0.35">
      <c r="A64">
        <v>1.98</v>
      </c>
      <c r="B64">
        <v>1</v>
      </c>
      <c r="C64">
        <v>0</v>
      </c>
      <c r="D64">
        <v>3</v>
      </c>
      <c r="E64">
        <v>1</v>
      </c>
      <c r="F64">
        <v>2</v>
      </c>
      <c r="G64">
        <v>11.02</v>
      </c>
    </row>
    <row r="65" spans="1:7" x14ac:dyDescent="0.35">
      <c r="A65">
        <v>3.76</v>
      </c>
      <c r="B65">
        <v>1</v>
      </c>
      <c r="C65">
        <v>0</v>
      </c>
      <c r="D65">
        <v>3</v>
      </c>
      <c r="E65">
        <v>1</v>
      </c>
      <c r="F65">
        <v>4</v>
      </c>
      <c r="G65">
        <v>18.29</v>
      </c>
    </row>
    <row r="66" spans="1:7" x14ac:dyDescent="0.35">
      <c r="A66">
        <v>2.64</v>
      </c>
      <c r="B66">
        <v>1</v>
      </c>
      <c r="C66">
        <v>1</v>
      </c>
      <c r="D66">
        <v>3</v>
      </c>
      <c r="E66">
        <v>1</v>
      </c>
      <c r="F66">
        <v>3</v>
      </c>
      <c r="G66">
        <v>17.59</v>
      </c>
    </row>
    <row r="67" spans="1:7" x14ac:dyDescent="0.35">
      <c r="A67">
        <v>3.15</v>
      </c>
      <c r="B67">
        <v>1</v>
      </c>
      <c r="C67">
        <v>1</v>
      </c>
      <c r="D67">
        <v>3</v>
      </c>
      <c r="E67">
        <v>1</v>
      </c>
      <c r="F67">
        <v>3</v>
      </c>
      <c r="G67">
        <v>20.079999999999998</v>
      </c>
    </row>
    <row r="68" spans="1:7" x14ac:dyDescent="0.35">
      <c r="A68">
        <v>2.4700000000000002</v>
      </c>
      <c r="B68">
        <v>0</v>
      </c>
      <c r="C68">
        <v>1</v>
      </c>
      <c r="D68">
        <v>3</v>
      </c>
      <c r="E68">
        <v>1</v>
      </c>
      <c r="F68">
        <v>2</v>
      </c>
      <c r="G68">
        <v>16.45</v>
      </c>
    </row>
    <row r="69" spans="1:7" x14ac:dyDescent="0.35">
      <c r="A69">
        <v>1</v>
      </c>
      <c r="B69">
        <v>0</v>
      </c>
      <c r="C69">
        <v>0</v>
      </c>
      <c r="D69">
        <v>3</v>
      </c>
      <c r="E69">
        <v>1</v>
      </c>
      <c r="F69">
        <v>1</v>
      </c>
      <c r="G69">
        <v>3.07</v>
      </c>
    </row>
    <row r="70" spans="1:7" x14ac:dyDescent="0.35">
      <c r="A70">
        <v>2.0099999999999998</v>
      </c>
      <c r="B70">
        <v>1</v>
      </c>
      <c r="C70">
        <v>1</v>
      </c>
      <c r="D70">
        <v>3</v>
      </c>
      <c r="E70">
        <v>1</v>
      </c>
      <c r="F70">
        <v>2</v>
      </c>
      <c r="G70">
        <v>20.23</v>
      </c>
    </row>
    <row r="71" spans="1:7" x14ac:dyDescent="0.35">
      <c r="A71">
        <v>2.09</v>
      </c>
      <c r="B71">
        <v>1</v>
      </c>
      <c r="C71">
        <v>0</v>
      </c>
      <c r="D71">
        <v>3</v>
      </c>
      <c r="E71">
        <v>1</v>
      </c>
      <c r="F71">
        <v>2</v>
      </c>
      <c r="G71">
        <v>15.01</v>
      </c>
    </row>
    <row r="72" spans="1:7" x14ac:dyDescent="0.35">
      <c r="A72">
        <v>1.97</v>
      </c>
      <c r="B72">
        <v>1</v>
      </c>
      <c r="C72">
        <v>1</v>
      </c>
      <c r="D72">
        <v>3</v>
      </c>
      <c r="E72">
        <v>1</v>
      </c>
      <c r="F72">
        <v>2</v>
      </c>
      <c r="G72">
        <v>12.02</v>
      </c>
    </row>
    <row r="73" spans="1:7" x14ac:dyDescent="0.35">
      <c r="A73">
        <v>3</v>
      </c>
      <c r="B73">
        <v>0</v>
      </c>
      <c r="C73">
        <v>1</v>
      </c>
      <c r="D73">
        <v>3</v>
      </c>
      <c r="E73">
        <v>1</v>
      </c>
      <c r="F73">
        <v>3</v>
      </c>
      <c r="G73">
        <v>17.07</v>
      </c>
    </row>
    <row r="74" spans="1:7" x14ac:dyDescent="0.35">
      <c r="A74">
        <v>3.14</v>
      </c>
      <c r="B74">
        <v>0</v>
      </c>
      <c r="C74">
        <v>0</v>
      </c>
      <c r="D74">
        <v>3</v>
      </c>
      <c r="E74">
        <v>1</v>
      </c>
      <c r="F74">
        <v>2</v>
      </c>
      <c r="G74">
        <v>26.86</v>
      </c>
    </row>
    <row r="75" spans="1:7" x14ac:dyDescent="0.35">
      <c r="A75">
        <v>5</v>
      </c>
      <c r="B75">
        <v>0</v>
      </c>
      <c r="C75">
        <v>0</v>
      </c>
      <c r="D75">
        <v>3</v>
      </c>
      <c r="E75">
        <v>1</v>
      </c>
      <c r="F75">
        <v>2</v>
      </c>
      <c r="G75">
        <v>25.28</v>
      </c>
    </row>
    <row r="76" spans="1:7" x14ac:dyDescent="0.35">
      <c r="A76">
        <v>2.2000000000000002</v>
      </c>
      <c r="B76">
        <v>0</v>
      </c>
      <c r="C76">
        <v>1</v>
      </c>
      <c r="D76">
        <v>3</v>
      </c>
      <c r="E76">
        <v>1</v>
      </c>
      <c r="F76">
        <v>2</v>
      </c>
      <c r="G76">
        <v>14.73</v>
      </c>
    </row>
    <row r="77" spans="1:7" x14ac:dyDescent="0.35">
      <c r="A77">
        <v>1.25</v>
      </c>
      <c r="B77">
        <v>1</v>
      </c>
      <c r="C77">
        <v>1</v>
      </c>
      <c r="D77">
        <v>3</v>
      </c>
      <c r="E77">
        <v>1</v>
      </c>
      <c r="F77">
        <v>2</v>
      </c>
      <c r="G77">
        <v>10.51</v>
      </c>
    </row>
    <row r="78" spans="1:7" x14ac:dyDescent="0.35">
      <c r="A78">
        <v>3.08</v>
      </c>
      <c r="B78">
        <v>1</v>
      </c>
      <c r="C78">
        <v>0</v>
      </c>
      <c r="D78">
        <v>3</v>
      </c>
      <c r="E78">
        <v>1</v>
      </c>
      <c r="F78">
        <v>2</v>
      </c>
      <c r="G78">
        <v>17.920000000000002</v>
      </c>
    </row>
    <row r="79" spans="1:7" x14ac:dyDescent="0.35">
      <c r="A79">
        <v>4</v>
      </c>
      <c r="B79">
        <v>1</v>
      </c>
      <c r="C79">
        <v>1</v>
      </c>
      <c r="D79">
        <v>1</v>
      </c>
      <c r="E79">
        <v>0</v>
      </c>
      <c r="F79">
        <v>4</v>
      </c>
      <c r="G79">
        <v>27.2</v>
      </c>
    </row>
    <row r="80" spans="1:7" x14ac:dyDescent="0.35">
      <c r="A80">
        <v>3</v>
      </c>
      <c r="B80">
        <v>1</v>
      </c>
      <c r="C80">
        <v>1</v>
      </c>
      <c r="D80">
        <v>1</v>
      </c>
      <c r="E80">
        <v>0</v>
      </c>
      <c r="F80">
        <v>2</v>
      </c>
      <c r="G80">
        <v>22.76</v>
      </c>
    </row>
    <row r="81" spans="1:7" x14ac:dyDescent="0.35">
      <c r="A81">
        <v>2.71</v>
      </c>
      <c r="B81">
        <v>1</v>
      </c>
      <c r="C81">
        <v>1</v>
      </c>
      <c r="D81">
        <v>1</v>
      </c>
      <c r="E81">
        <v>0</v>
      </c>
      <c r="F81">
        <v>2</v>
      </c>
      <c r="G81">
        <v>17.29</v>
      </c>
    </row>
    <row r="82" spans="1:7" x14ac:dyDescent="0.35">
      <c r="A82">
        <v>3</v>
      </c>
      <c r="B82">
        <v>1</v>
      </c>
      <c r="C82">
        <v>0</v>
      </c>
      <c r="D82">
        <v>1</v>
      </c>
      <c r="E82">
        <v>0</v>
      </c>
      <c r="F82">
        <v>2</v>
      </c>
      <c r="G82">
        <v>19.440000000000001</v>
      </c>
    </row>
    <row r="83" spans="1:7" x14ac:dyDescent="0.35">
      <c r="A83">
        <v>3.4</v>
      </c>
      <c r="B83">
        <v>1</v>
      </c>
      <c r="C83">
        <v>1</v>
      </c>
      <c r="D83">
        <v>1</v>
      </c>
      <c r="E83">
        <v>0</v>
      </c>
      <c r="F83">
        <v>2</v>
      </c>
      <c r="G83">
        <v>16.66</v>
      </c>
    </row>
    <row r="84" spans="1:7" x14ac:dyDescent="0.35">
      <c r="A84">
        <v>1.83</v>
      </c>
      <c r="B84">
        <v>0</v>
      </c>
      <c r="C84">
        <v>1</v>
      </c>
      <c r="D84">
        <v>1</v>
      </c>
      <c r="E84">
        <v>0</v>
      </c>
      <c r="F84">
        <v>1</v>
      </c>
      <c r="G84">
        <v>10.07</v>
      </c>
    </row>
    <row r="85" spans="1:7" x14ac:dyDescent="0.35">
      <c r="A85">
        <v>5</v>
      </c>
      <c r="B85">
        <v>1</v>
      </c>
      <c r="C85">
        <v>0</v>
      </c>
      <c r="D85">
        <v>1</v>
      </c>
      <c r="E85">
        <v>0</v>
      </c>
      <c r="F85">
        <v>2</v>
      </c>
      <c r="G85">
        <v>32.68</v>
      </c>
    </row>
    <row r="86" spans="1:7" x14ac:dyDescent="0.35">
      <c r="A86">
        <v>2.0299999999999998</v>
      </c>
      <c r="B86">
        <v>1</v>
      </c>
      <c r="C86">
        <v>1</v>
      </c>
      <c r="D86">
        <v>1</v>
      </c>
      <c r="E86">
        <v>0</v>
      </c>
      <c r="F86">
        <v>2</v>
      </c>
      <c r="G86">
        <v>15.98</v>
      </c>
    </row>
    <row r="87" spans="1:7" x14ac:dyDescent="0.35">
      <c r="A87">
        <v>5.17</v>
      </c>
      <c r="B87">
        <v>0</v>
      </c>
      <c r="C87">
        <v>1</v>
      </c>
      <c r="D87">
        <v>1</v>
      </c>
      <c r="E87">
        <v>0</v>
      </c>
      <c r="F87">
        <v>4</v>
      </c>
      <c r="G87">
        <v>34.83</v>
      </c>
    </row>
    <row r="88" spans="1:7" x14ac:dyDescent="0.35">
      <c r="A88">
        <v>2</v>
      </c>
      <c r="B88">
        <v>1</v>
      </c>
      <c r="C88">
        <v>1</v>
      </c>
      <c r="D88">
        <v>1</v>
      </c>
      <c r="E88">
        <v>0</v>
      </c>
      <c r="F88">
        <v>2</v>
      </c>
      <c r="G88">
        <v>13.03</v>
      </c>
    </row>
    <row r="89" spans="1:7" x14ac:dyDescent="0.35">
      <c r="A89">
        <v>4</v>
      </c>
      <c r="B89">
        <v>1</v>
      </c>
      <c r="C89">
        <v>1</v>
      </c>
      <c r="D89">
        <v>1</v>
      </c>
      <c r="E89">
        <v>0</v>
      </c>
      <c r="F89">
        <v>2</v>
      </c>
      <c r="G89">
        <v>18.28</v>
      </c>
    </row>
    <row r="90" spans="1:7" x14ac:dyDescent="0.35">
      <c r="A90">
        <v>5.85</v>
      </c>
      <c r="B90">
        <v>1</v>
      </c>
      <c r="C90">
        <v>1</v>
      </c>
      <c r="D90">
        <v>1</v>
      </c>
      <c r="E90">
        <v>0</v>
      </c>
      <c r="F90">
        <v>2</v>
      </c>
      <c r="G90">
        <v>24.71</v>
      </c>
    </row>
    <row r="91" spans="1:7" x14ac:dyDescent="0.35">
      <c r="A91">
        <v>3</v>
      </c>
      <c r="B91">
        <v>1</v>
      </c>
      <c r="C91">
        <v>1</v>
      </c>
      <c r="D91">
        <v>1</v>
      </c>
      <c r="E91">
        <v>0</v>
      </c>
      <c r="F91">
        <v>2</v>
      </c>
      <c r="G91">
        <v>21.16</v>
      </c>
    </row>
    <row r="92" spans="1:7" x14ac:dyDescent="0.35">
      <c r="A92">
        <v>3</v>
      </c>
      <c r="B92">
        <v>1</v>
      </c>
      <c r="C92">
        <v>0</v>
      </c>
      <c r="D92">
        <v>2</v>
      </c>
      <c r="E92">
        <v>1</v>
      </c>
      <c r="F92">
        <v>2</v>
      </c>
      <c r="G92">
        <v>28.97</v>
      </c>
    </row>
    <row r="93" spans="1:7" x14ac:dyDescent="0.35">
      <c r="A93">
        <v>3.5</v>
      </c>
      <c r="B93">
        <v>1</v>
      </c>
      <c r="C93">
        <v>1</v>
      </c>
      <c r="D93">
        <v>2</v>
      </c>
      <c r="E93">
        <v>1</v>
      </c>
      <c r="F93">
        <v>2</v>
      </c>
      <c r="G93">
        <v>22.49</v>
      </c>
    </row>
    <row r="94" spans="1:7" x14ac:dyDescent="0.35">
      <c r="A94">
        <v>1</v>
      </c>
      <c r="B94">
        <v>0</v>
      </c>
      <c r="C94">
        <v>0</v>
      </c>
      <c r="D94">
        <v>2</v>
      </c>
      <c r="E94">
        <v>1</v>
      </c>
      <c r="F94">
        <v>2</v>
      </c>
      <c r="G94">
        <v>5.75</v>
      </c>
    </row>
    <row r="95" spans="1:7" x14ac:dyDescent="0.35">
      <c r="A95">
        <v>4.3</v>
      </c>
      <c r="B95">
        <v>0</v>
      </c>
      <c r="C95">
        <v>0</v>
      </c>
      <c r="D95">
        <v>2</v>
      </c>
      <c r="E95">
        <v>1</v>
      </c>
      <c r="F95">
        <v>2</v>
      </c>
      <c r="G95">
        <v>16.32</v>
      </c>
    </row>
    <row r="96" spans="1:7" x14ac:dyDescent="0.35">
      <c r="A96">
        <v>3.25</v>
      </c>
      <c r="B96">
        <v>0</v>
      </c>
      <c r="C96">
        <v>1</v>
      </c>
      <c r="D96">
        <v>2</v>
      </c>
      <c r="E96">
        <v>1</v>
      </c>
      <c r="F96">
        <v>2</v>
      </c>
      <c r="G96">
        <v>22.75</v>
      </c>
    </row>
    <row r="97" spans="1:7" x14ac:dyDescent="0.35">
      <c r="A97">
        <v>4.7300000000000004</v>
      </c>
      <c r="B97">
        <v>1</v>
      </c>
      <c r="C97">
        <v>0</v>
      </c>
      <c r="D97">
        <v>2</v>
      </c>
      <c r="E97">
        <v>1</v>
      </c>
      <c r="F97">
        <v>4</v>
      </c>
      <c r="G97">
        <v>40.17</v>
      </c>
    </row>
    <row r="98" spans="1:7" x14ac:dyDescent="0.35">
      <c r="A98">
        <v>4</v>
      </c>
      <c r="B98">
        <v>1</v>
      </c>
      <c r="C98">
        <v>0</v>
      </c>
      <c r="D98">
        <v>2</v>
      </c>
      <c r="E98">
        <v>1</v>
      </c>
      <c r="F98">
        <v>2</v>
      </c>
      <c r="G98">
        <v>27.28</v>
      </c>
    </row>
    <row r="99" spans="1:7" x14ac:dyDescent="0.35">
      <c r="A99">
        <v>1.5</v>
      </c>
      <c r="B99">
        <v>1</v>
      </c>
      <c r="C99">
        <v>0</v>
      </c>
      <c r="D99">
        <v>2</v>
      </c>
      <c r="E99">
        <v>1</v>
      </c>
      <c r="F99">
        <v>2</v>
      </c>
      <c r="G99">
        <v>12.03</v>
      </c>
    </row>
    <row r="100" spans="1:7" x14ac:dyDescent="0.35">
      <c r="A100">
        <v>3</v>
      </c>
      <c r="B100">
        <v>1</v>
      </c>
      <c r="C100">
        <v>0</v>
      </c>
      <c r="D100">
        <v>2</v>
      </c>
      <c r="E100">
        <v>1</v>
      </c>
      <c r="F100">
        <v>2</v>
      </c>
      <c r="G100">
        <v>21.01</v>
      </c>
    </row>
    <row r="101" spans="1:7" x14ac:dyDescent="0.35">
      <c r="A101">
        <v>1.5</v>
      </c>
      <c r="B101">
        <v>1</v>
      </c>
      <c r="C101">
        <v>1</v>
      </c>
      <c r="D101">
        <v>2</v>
      </c>
      <c r="E101">
        <v>1</v>
      </c>
      <c r="F101">
        <v>2</v>
      </c>
      <c r="G101">
        <v>12.46</v>
      </c>
    </row>
    <row r="102" spans="1:7" x14ac:dyDescent="0.35">
      <c r="A102">
        <v>2.5</v>
      </c>
      <c r="B102">
        <v>0</v>
      </c>
      <c r="C102">
        <v>0</v>
      </c>
      <c r="D102">
        <v>2</v>
      </c>
      <c r="E102">
        <v>1</v>
      </c>
      <c r="F102">
        <v>2</v>
      </c>
      <c r="G102">
        <v>11.35</v>
      </c>
    </row>
    <row r="103" spans="1:7" x14ac:dyDescent="0.35">
      <c r="A103">
        <v>3</v>
      </c>
      <c r="B103">
        <v>0</v>
      </c>
      <c r="C103">
        <v>0</v>
      </c>
      <c r="D103">
        <v>2</v>
      </c>
      <c r="E103">
        <v>1</v>
      </c>
      <c r="F103">
        <v>2</v>
      </c>
      <c r="G103">
        <v>15.38</v>
      </c>
    </row>
    <row r="104" spans="1:7" x14ac:dyDescent="0.35">
      <c r="A104">
        <v>2.5</v>
      </c>
      <c r="B104">
        <v>0</v>
      </c>
      <c r="C104">
        <v>0</v>
      </c>
      <c r="D104">
        <v>3</v>
      </c>
      <c r="E104">
        <v>1</v>
      </c>
      <c r="F104">
        <v>3</v>
      </c>
      <c r="G104">
        <v>44.3</v>
      </c>
    </row>
    <row r="105" spans="1:7" x14ac:dyDescent="0.35">
      <c r="A105">
        <v>3.48</v>
      </c>
      <c r="B105">
        <v>0</v>
      </c>
      <c r="C105">
        <v>0</v>
      </c>
      <c r="D105">
        <v>3</v>
      </c>
      <c r="E105">
        <v>1</v>
      </c>
      <c r="F105">
        <v>2</v>
      </c>
      <c r="G105">
        <v>22.42</v>
      </c>
    </row>
    <row r="106" spans="1:7" x14ac:dyDescent="0.35">
      <c r="A106">
        <v>4.08</v>
      </c>
      <c r="B106">
        <v>0</v>
      </c>
      <c r="C106">
        <v>1</v>
      </c>
      <c r="D106">
        <v>3</v>
      </c>
      <c r="E106">
        <v>1</v>
      </c>
      <c r="F106">
        <v>2</v>
      </c>
      <c r="G106">
        <v>20.92</v>
      </c>
    </row>
    <row r="107" spans="1:7" x14ac:dyDescent="0.35">
      <c r="A107">
        <v>1.64</v>
      </c>
      <c r="B107">
        <v>1</v>
      </c>
      <c r="C107">
        <v>0</v>
      </c>
      <c r="D107">
        <v>3</v>
      </c>
      <c r="E107">
        <v>1</v>
      </c>
      <c r="F107">
        <v>2</v>
      </c>
      <c r="G107">
        <v>15.36</v>
      </c>
    </row>
    <row r="108" spans="1:7" x14ac:dyDescent="0.35">
      <c r="A108">
        <v>4.0599999999999996</v>
      </c>
      <c r="B108">
        <v>1</v>
      </c>
      <c r="C108">
        <v>0</v>
      </c>
      <c r="D108">
        <v>3</v>
      </c>
      <c r="E108">
        <v>1</v>
      </c>
      <c r="F108">
        <v>2</v>
      </c>
      <c r="G108">
        <v>20.49</v>
      </c>
    </row>
    <row r="109" spans="1:7" x14ac:dyDescent="0.35">
      <c r="A109">
        <v>4.29</v>
      </c>
      <c r="B109">
        <v>1</v>
      </c>
      <c r="C109">
        <v>0</v>
      </c>
      <c r="D109">
        <v>3</v>
      </c>
      <c r="E109">
        <v>1</v>
      </c>
      <c r="F109">
        <v>2</v>
      </c>
      <c r="G109">
        <v>25.21</v>
      </c>
    </row>
    <row r="110" spans="1:7" x14ac:dyDescent="0.35">
      <c r="A110">
        <v>3.76</v>
      </c>
      <c r="B110">
        <v>1</v>
      </c>
      <c r="C110">
        <v>1</v>
      </c>
      <c r="D110">
        <v>3</v>
      </c>
      <c r="E110">
        <v>1</v>
      </c>
      <c r="F110">
        <v>2</v>
      </c>
      <c r="G110">
        <v>18.239999999999998</v>
      </c>
    </row>
    <row r="111" spans="1:7" x14ac:dyDescent="0.35">
      <c r="A111">
        <v>4</v>
      </c>
      <c r="B111">
        <v>0</v>
      </c>
      <c r="C111">
        <v>0</v>
      </c>
      <c r="D111">
        <v>3</v>
      </c>
      <c r="E111">
        <v>1</v>
      </c>
      <c r="F111">
        <v>2</v>
      </c>
      <c r="G111">
        <v>14.31</v>
      </c>
    </row>
    <row r="112" spans="1:7" x14ac:dyDescent="0.35">
      <c r="A112">
        <v>3</v>
      </c>
      <c r="B112">
        <v>1</v>
      </c>
      <c r="C112">
        <v>1</v>
      </c>
      <c r="D112">
        <v>3</v>
      </c>
      <c r="E112">
        <v>1</v>
      </c>
      <c r="F112">
        <v>2</v>
      </c>
      <c r="G112">
        <v>14</v>
      </c>
    </row>
    <row r="113" spans="1:7" x14ac:dyDescent="0.35">
      <c r="A113">
        <v>1</v>
      </c>
      <c r="B113">
        <v>0</v>
      </c>
      <c r="C113">
        <v>1</v>
      </c>
      <c r="D113">
        <v>3</v>
      </c>
      <c r="E113">
        <v>1</v>
      </c>
      <c r="F113">
        <v>1</v>
      </c>
      <c r="G113">
        <v>7.25</v>
      </c>
    </row>
    <row r="114" spans="1:7" x14ac:dyDescent="0.35">
      <c r="A114">
        <v>4</v>
      </c>
      <c r="B114">
        <v>1</v>
      </c>
      <c r="C114">
        <v>1</v>
      </c>
      <c r="D114">
        <v>4</v>
      </c>
      <c r="E114">
        <v>1</v>
      </c>
      <c r="F114">
        <v>3</v>
      </c>
      <c r="G114">
        <v>38.07</v>
      </c>
    </row>
    <row r="115" spans="1:7" x14ac:dyDescent="0.35">
      <c r="A115">
        <v>2.5499999999999998</v>
      </c>
      <c r="B115">
        <v>1</v>
      </c>
      <c r="C115">
        <v>1</v>
      </c>
      <c r="D115">
        <v>4</v>
      </c>
      <c r="E115">
        <v>1</v>
      </c>
      <c r="F115">
        <v>2</v>
      </c>
      <c r="G115">
        <v>23.95</v>
      </c>
    </row>
    <row r="116" spans="1:7" x14ac:dyDescent="0.35">
      <c r="A116">
        <v>4</v>
      </c>
      <c r="B116">
        <v>0</v>
      </c>
      <c r="C116">
        <v>1</v>
      </c>
      <c r="D116">
        <v>4</v>
      </c>
      <c r="E116">
        <v>1</v>
      </c>
      <c r="F116">
        <v>3</v>
      </c>
      <c r="G116">
        <v>25.71</v>
      </c>
    </row>
    <row r="117" spans="1:7" x14ac:dyDescent="0.35">
      <c r="A117">
        <v>3.5</v>
      </c>
      <c r="B117">
        <v>0</v>
      </c>
      <c r="C117">
        <v>1</v>
      </c>
      <c r="D117">
        <v>4</v>
      </c>
      <c r="E117">
        <v>1</v>
      </c>
      <c r="F117">
        <v>2</v>
      </c>
      <c r="G117">
        <v>17.309999999999999</v>
      </c>
    </row>
    <row r="118" spans="1:7" x14ac:dyDescent="0.35">
      <c r="A118">
        <v>5.07</v>
      </c>
      <c r="B118">
        <v>1</v>
      </c>
      <c r="C118">
        <v>1</v>
      </c>
      <c r="D118">
        <v>4</v>
      </c>
      <c r="E118">
        <v>1</v>
      </c>
      <c r="F118">
        <v>4</v>
      </c>
      <c r="G118">
        <v>29.93</v>
      </c>
    </row>
    <row r="119" spans="1:7" x14ac:dyDescent="0.35">
      <c r="A119">
        <v>1.5</v>
      </c>
      <c r="B119">
        <v>0</v>
      </c>
      <c r="C119">
        <v>1</v>
      </c>
      <c r="D119">
        <v>1</v>
      </c>
      <c r="E119">
        <v>0</v>
      </c>
      <c r="F119">
        <v>2</v>
      </c>
      <c r="G119">
        <v>10.65</v>
      </c>
    </row>
    <row r="120" spans="1:7" x14ac:dyDescent="0.35">
      <c r="A120">
        <v>1.8</v>
      </c>
      <c r="B120">
        <v>0</v>
      </c>
      <c r="C120">
        <v>1</v>
      </c>
      <c r="D120">
        <v>1</v>
      </c>
      <c r="E120">
        <v>0</v>
      </c>
      <c r="F120">
        <v>2</v>
      </c>
      <c r="G120">
        <v>12.43</v>
      </c>
    </row>
    <row r="121" spans="1:7" x14ac:dyDescent="0.35">
      <c r="A121">
        <v>2.92</v>
      </c>
      <c r="B121">
        <v>0</v>
      </c>
      <c r="C121">
        <v>1</v>
      </c>
      <c r="D121">
        <v>1</v>
      </c>
      <c r="E121">
        <v>0</v>
      </c>
      <c r="F121">
        <v>4</v>
      </c>
      <c r="G121">
        <v>24.08</v>
      </c>
    </row>
    <row r="122" spans="1:7" x14ac:dyDescent="0.35">
      <c r="A122">
        <v>2.31</v>
      </c>
      <c r="B122">
        <v>1</v>
      </c>
      <c r="C122">
        <v>1</v>
      </c>
      <c r="D122">
        <v>1</v>
      </c>
      <c r="E122">
        <v>0</v>
      </c>
      <c r="F122">
        <v>2</v>
      </c>
      <c r="G122">
        <v>11.69</v>
      </c>
    </row>
    <row r="123" spans="1:7" x14ac:dyDescent="0.35">
      <c r="A123">
        <v>1.68</v>
      </c>
      <c r="B123">
        <v>0</v>
      </c>
      <c r="C123">
        <v>1</v>
      </c>
      <c r="D123">
        <v>1</v>
      </c>
      <c r="E123">
        <v>0</v>
      </c>
      <c r="F123">
        <v>2</v>
      </c>
      <c r="G123">
        <v>13.42</v>
      </c>
    </row>
    <row r="124" spans="1:7" x14ac:dyDescent="0.35">
      <c r="A124">
        <v>2.5</v>
      </c>
      <c r="B124">
        <v>1</v>
      </c>
      <c r="C124">
        <v>1</v>
      </c>
      <c r="D124">
        <v>1</v>
      </c>
      <c r="E124">
        <v>0</v>
      </c>
      <c r="F124">
        <v>2</v>
      </c>
      <c r="G124">
        <v>14.26</v>
      </c>
    </row>
    <row r="125" spans="1:7" x14ac:dyDescent="0.35">
      <c r="A125">
        <v>2</v>
      </c>
      <c r="B125">
        <v>1</v>
      </c>
      <c r="C125">
        <v>1</v>
      </c>
      <c r="D125">
        <v>1</v>
      </c>
      <c r="E125">
        <v>0</v>
      </c>
      <c r="F125">
        <v>2</v>
      </c>
      <c r="G125">
        <v>15.95</v>
      </c>
    </row>
    <row r="126" spans="1:7" x14ac:dyDescent="0.35">
      <c r="A126">
        <v>2.52</v>
      </c>
      <c r="B126">
        <v>0</v>
      </c>
      <c r="C126">
        <v>1</v>
      </c>
      <c r="D126">
        <v>1</v>
      </c>
      <c r="E126">
        <v>0</v>
      </c>
      <c r="F126">
        <v>2</v>
      </c>
      <c r="G126">
        <v>12.48</v>
      </c>
    </row>
    <row r="127" spans="1:7" x14ac:dyDescent="0.35">
      <c r="A127">
        <v>4.2</v>
      </c>
      <c r="B127">
        <v>0</v>
      </c>
      <c r="C127">
        <v>1</v>
      </c>
      <c r="D127">
        <v>1</v>
      </c>
      <c r="E127">
        <v>0</v>
      </c>
      <c r="F127">
        <v>6</v>
      </c>
      <c r="G127">
        <v>29.8</v>
      </c>
    </row>
    <row r="128" spans="1:7" x14ac:dyDescent="0.35">
      <c r="A128">
        <v>1.48</v>
      </c>
      <c r="B128">
        <v>1</v>
      </c>
      <c r="C128">
        <v>1</v>
      </c>
      <c r="D128">
        <v>1</v>
      </c>
      <c r="E128">
        <v>0</v>
      </c>
      <c r="F128">
        <v>2</v>
      </c>
      <c r="G128">
        <v>8.52</v>
      </c>
    </row>
    <row r="129" spans="1:7" x14ac:dyDescent="0.35">
      <c r="A129">
        <v>2</v>
      </c>
      <c r="B129">
        <v>0</v>
      </c>
      <c r="C129">
        <v>1</v>
      </c>
      <c r="D129">
        <v>1</v>
      </c>
      <c r="E129">
        <v>0</v>
      </c>
      <c r="F129">
        <v>2</v>
      </c>
      <c r="G129">
        <v>14.52</v>
      </c>
    </row>
    <row r="130" spans="1:7" x14ac:dyDescent="0.35">
      <c r="A130">
        <v>2</v>
      </c>
      <c r="B130">
        <v>0</v>
      </c>
      <c r="C130">
        <v>1</v>
      </c>
      <c r="D130">
        <v>1</v>
      </c>
      <c r="E130">
        <v>0</v>
      </c>
      <c r="F130">
        <v>2</v>
      </c>
      <c r="G130">
        <v>11.38</v>
      </c>
    </row>
    <row r="131" spans="1:7" x14ac:dyDescent="0.35">
      <c r="A131">
        <v>2.1800000000000002</v>
      </c>
      <c r="B131">
        <v>1</v>
      </c>
      <c r="C131">
        <v>1</v>
      </c>
      <c r="D131">
        <v>1</v>
      </c>
      <c r="E131">
        <v>0</v>
      </c>
      <c r="F131">
        <v>3</v>
      </c>
      <c r="G131">
        <v>22.82</v>
      </c>
    </row>
    <row r="132" spans="1:7" x14ac:dyDescent="0.35">
      <c r="A132">
        <v>1.5</v>
      </c>
      <c r="B132">
        <v>1</v>
      </c>
      <c r="C132">
        <v>1</v>
      </c>
      <c r="D132">
        <v>1</v>
      </c>
      <c r="E132">
        <v>0</v>
      </c>
      <c r="F132">
        <v>2</v>
      </c>
      <c r="G132">
        <v>19.079999999999998</v>
      </c>
    </row>
    <row r="133" spans="1:7" x14ac:dyDescent="0.35">
      <c r="A133">
        <v>2.83</v>
      </c>
      <c r="B133">
        <v>0</v>
      </c>
      <c r="C133">
        <v>1</v>
      </c>
      <c r="D133">
        <v>1</v>
      </c>
      <c r="E133">
        <v>0</v>
      </c>
      <c r="F133">
        <v>2</v>
      </c>
      <c r="G133">
        <v>20.27</v>
      </c>
    </row>
    <row r="134" spans="1:7" x14ac:dyDescent="0.35">
      <c r="A134">
        <v>1.5</v>
      </c>
      <c r="B134">
        <v>0</v>
      </c>
      <c r="C134">
        <v>1</v>
      </c>
      <c r="D134">
        <v>1</v>
      </c>
      <c r="E134">
        <v>0</v>
      </c>
      <c r="F134">
        <v>2</v>
      </c>
      <c r="G134">
        <v>11.17</v>
      </c>
    </row>
    <row r="135" spans="1:7" x14ac:dyDescent="0.35">
      <c r="A135">
        <v>2</v>
      </c>
      <c r="B135">
        <v>0</v>
      </c>
      <c r="C135">
        <v>1</v>
      </c>
      <c r="D135">
        <v>1</v>
      </c>
      <c r="E135">
        <v>0</v>
      </c>
      <c r="F135">
        <v>2</v>
      </c>
      <c r="G135">
        <v>12.26</v>
      </c>
    </row>
    <row r="136" spans="1:7" x14ac:dyDescent="0.35">
      <c r="A136">
        <v>3.25</v>
      </c>
      <c r="B136">
        <v>0</v>
      </c>
      <c r="C136">
        <v>1</v>
      </c>
      <c r="D136">
        <v>1</v>
      </c>
      <c r="E136">
        <v>0</v>
      </c>
      <c r="F136">
        <v>2</v>
      </c>
      <c r="G136">
        <v>18.260000000000002</v>
      </c>
    </row>
    <row r="137" spans="1:7" x14ac:dyDescent="0.35">
      <c r="A137">
        <v>1.25</v>
      </c>
      <c r="B137">
        <v>0</v>
      </c>
      <c r="C137">
        <v>1</v>
      </c>
      <c r="D137">
        <v>1</v>
      </c>
      <c r="E137">
        <v>0</v>
      </c>
      <c r="F137">
        <v>2</v>
      </c>
      <c r="G137">
        <v>8.51</v>
      </c>
    </row>
    <row r="138" spans="1:7" x14ac:dyDescent="0.35">
      <c r="A138">
        <v>2</v>
      </c>
      <c r="B138">
        <v>0</v>
      </c>
      <c r="C138">
        <v>1</v>
      </c>
      <c r="D138">
        <v>1</v>
      </c>
      <c r="E138">
        <v>0</v>
      </c>
      <c r="F138">
        <v>2</v>
      </c>
      <c r="G138">
        <v>10.33</v>
      </c>
    </row>
    <row r="139" spans="1:7" x14ac:dyDescent="0.35">
      <c r="A139">
        <v>2</v>
      </c>
      <c r="B139">
        <v>0</v>
      </c>
      <c r="C139">
        <v>1</v>
      </c>
      <c r="D139">
        <v>1</v>
      </c>
      <c r="E139">
        <v>0</v>
      </c>
      <c r="F139">
        <v>2</v>
      </c>
      <c r="G139">
        <v>14.15</v>
      </c>
    </row>
    <row r="140" spans="1:7" x14ac:dyDescent="0.35">
      <c r="A140">
        <v>2</v>
      </c>
      <c r="B140">
        <v>1</v>
      </c>
      <c r="C140">
        <v>0</v>
      </c>
      <c r="D140">
        <v>1</v>
      </c>
      <c r="E140">
        <v>0</v>
      </c>
      <c r="F140">
        <v>2</v>
      </c>
      <c r="G140">
        <v>16</v>
      </c>
    </row>
    <row r="141" spans="1:7" x14ac:dyDescent="0.35">
      <c r="A141">
        <v>2.75</v>
      </c>
      <c r="B141">
        <v>0</v>
      </c>
      <c r="C141">
        <v>1</v>
      </c>
      <c r="D141">
        <v>1</v>
      </c>
      <c r="E141">
        <v>0</v>
      </c>
      <c r="F141">
        <v>2</v>
      </c>
      <c r="G141">
        <v>13.16</v>
      </c>
    </row>
    <row r="142" spans="1:7" x14ac:dyDescent="0.35">
      <c r="A142">
        <v>3.5</v>
      </c>
      <c r="B142">
        <v>0</v>
      </c>
      <c r="C142">
        <v>1</v>
      </c>
      <c r="D142">
        <v>1</v>
      </c>
      <c r="E142">
        <v>0</v>
      </c>
      <c r="F142">
        <v>2</v>
      </c>
      <c r="G142">
        <v>17.47</v>
      </c>
    </row>
    <row r="143" spans="1:7" x14ac:dyDescent="0.35">
      <c r="A143">
        <v>6.7</v>
      </c>
      <c r="B143">
        <v>1</v>
      </c>
      <c r="C143">
        <v>1</v>
      </c>
      <c r="D143">
        <v>1</v>
      </c>
      <c r="E143">
        <v>0</v>
      </c>
      <c r="F143">
        <v>6</v>
      </c>
      <c r="G143">
        <v>34.299999999999997</v>
      </c>
    </row>
    <row r="144" spans="1:7" x14ac:dyDescent="0.35">
      <c r="A144">
        <v>5</v>
      </c>
      <c r="B144">
        <v>1</v>
      </c>
      <c r="C144">
        <v>1</v>
      </c>
      <c r="D144">
        <v>1</v>
      </c>
      <c r="E144">
        <v>0</v>
      </c>
      <c r="F144">
        <v>5</v>
      </c>
      <c r="G144">
        <v>41.19</v>
      </c>
    </row>
    <row r="145" spans="1:7" x14ac:dyDescent="0.35">
      <c r="A145">
        <v>5</v>
      </c>
      <c r="B145">
        <v>0</v>
      </c>
      <c r="C145">
        <v>1</v>
      </c>
      <c r="D145">
        <v>1</v>
      </c>
      <c r="E145">
        <v>0</v>
      </c>
      <c r="F145">
        <v>6</v>
      </c>
      <c r="G145">
        <v>27.05</v>
      </c>
    </row>
    <row r="146" spans="1:7" x14ac:dyDescent="0.35">
      <c r="A146">
        <v>2.2999999999999998</v>
      </c>
      <c r="B146">
        <v>0</v>
      </c>
      <c r="C146">
        <v>1</v>
      </c>
      <c r="D146">
        <v>1</v>
      </c>
      <c r="E146">
        <v>0</v>
      </c>
      <c r="F146">
        <v>2</v>
      </c>
      <c r="G146">
        <v>16.43</v>
      </c>
    </row>
    <row r="147" spans="1:7" x14ac:dyDescent="0.35">
      <c r="A147">
        <v>1.5</v>
      </c>
      <c r="B147">
        <v>0</v>
      </c>
      <c r="C147">
        <v>1</v>
      </c>
      <c r="D147">
        <v>1</v>
      </c>
      <c r="E147">
        <v>0</v>
      </c>
      <c r="F147">
        <v>2</v>
      </c>
      <c r="G147">
        <v>8.35</v>
      </c>
    </row>
    <row r="148" spans="1:7" x14ac:dyDescent="0.35">
      <c r="A148">
        <v>1.36</v>
      </c>
      <c r="B148">
        <v>0</v>
      </c>
      <c r="C148">
        <v>1</v>
      </c>
      <c r="D148">
        <v>1</v>
      </c>
      <c r="E148">
        <v>0</v>
      </c>
      <c r="F148">
        <v>3</v>
      </c>
      <c r="G148">
        <v>18.64</v>
      </c>
    </row>
    <row r="149" spans="1:7" x14ac:dyDescent="0.35">
      <c r="A149">
        <v>1.63</v>
      </c>
      <c r="B149">
        <v>0</v>
      </c>
      <c r="C149">
        <v>1</v>
      </c>
      <c r="D149">
        <v>1</v>
      </c>
      <c r="E149">
        <v>0</v>
      </c>
      <c r="F149">
        <v>2</v>
      </c>
      <c r="G149">
        <v>11.87</v>
      </c>
    </row>
    <row r="150" spans="1:7" x14ac:dyDescent="0.35">
      <c r="A150">
        <v>1.73</v>
      </c>
      <c r="B150">
        <v>1</v>
      </c>
      <c r="C150">
        <v>1</v>
      </c>
      <c r="D150">
        <v>1</v>
      </c>
      <c r="E150">
        <v>0</v>
      </c>
      <c r="F150">
        <v>2</v>
      </c>
      <c r="G150">
        <v>9.7799999999999994</v>
      </c>
    </row>
    <row r="151" spans="1:7" x14ac:dyDescent="0.35">
      <c r="A151">
        <v>2</v>
      </c>
      <c r="B151">
        <v>1</v>
      </c>
      <c r="C151">
        <v>1</v>
      </c>
      <c r="D151">
        <v>1</v>
      </c>
      <c r="E151">
        <v>0</v>
      </c>
      <c r="F151">
        <v>2</v>
      </c>
      <c r="G151">
        <v>7.51</v>
      </c>
    </row>
    <row r="152" spans="1:7" x14ac:dyDescent="0.35">
      <c r="A152">
        <v>2.5</v>
      </c>
      <c r="B152">
        <v>1</v>
      </c>
      <c r="C152">
        <v>1</v>
      </c>
      <c r="D152">
        <v>4</v>
      </c>
      <c r="E152">
        <v>1</v>
      </c>
      <c r="F152">
        <v>2</v>
      </c>
      <c r="G152">
        <v>14.07</v>
      </c>
    </row>
    <row r="153" spans="1:7" x14ac:dyDescent="0.35">
      <c r="A153">
        <v>2</v>
      </c>
      <c r="B153">
        <v>1</v>
      </c>
      <c r="C153">
        <v>1</v>
      </c>
      <c r="D153">
        <v>4</v>
      </c>
      <c r="E153">
        <v>1</v>
      </c>
      <c r="F153">
        <v>2</v>
      </c>
      <c r="G153">
        <v>13.13</v>
      </c>
    </row>
    <row r="154" spans="1:7" x14ac:dyDescent="0.35">
      <c r="A154">
        <v>2.74</v>
      </c>
      <c r="B154">
        <v>1</v>
      </c>
      <c r="C154">
        <v>1</v>
      </c>
      <c r="D154">
        <v>4</v>
      </c>
      <c r="E154">
        <v>1</v>
      </c>
      <c r="F154">
        <v>3</v>
      </c>
      <c r="G154">
        <v>17.260000000000002</v>
      </c>
    </row>
    <row r="155" spans="1:7" x14ac:dyDescent="0.35">
      <c r="A155">
        <v>2</v>
      </c>
      <c r="B155">
        <v>1</v>
      </c>
      <c r="C155">
        <v>1</v>
      </c>
      <c r="D155">
        <v>4</v>
      </c>
      <c r="E155">
        <v>1</v>
      </c>
      <c r="F155">
        <v>4</v>
      </c>
      <c r="G155">
        <v>24.55</v>
      </c>
    </row>
    <row r="156" spans="1:7" x14ac:dyDescent="0.35">
      <c r="A156">
        <v>2</v>
      </c>
      <c r="B156">
        <v>1</v>
      </c>
      <c r="C156">
        <v>1</v>
      </c>
      <c r="D156">
        <v>4</v>
      </c>
      <c r="E156">
        <v>1</v>
      </c>
      <c r="F156">
        <v>4</v>
      </c>
      <c r="G156">
        <v>19.77</v>
      </c>
    </row>
    <row r="157" spans="1:7" x14ac:dyDescent="0.35">
      <c r="A157">
        <v>5.14</v>
      </c>
      <c r="B157">
        <v>0</v>
      </c>
      <c r="C157">
        <v>1</v>
      </c>
      <c r="D157">
        <v>4</v>
      </c>
      <c r="E157">
        <v>1</v>
      </c>
      <c r="F157">
        <v>5</v>
      </c>
      <c r="G157">
        <v>29.85</v>
      </c>
    </row>
    <row r="158" spans="1:7" x14ac:dyDescent="0.35">
      <c r="A158">
        <v>5</v>
      </c>
      <c r="B158">
        <v>1</v>
      </c>
      <c r="C158">
        <v>1</v>
      </c>
      <c r="D158">
        <v>4</v>
      </c>
      <c r="E158">
        <v>1</v>
      </c>
      <c r="F158">
        <v>6</v>
      </c>
      <c r="G158">
        <v>48.17</v>
      </c>
    </row>
    <row r="159" spans="1:7" x14ac:dyDescent="0.35">
      <c r="A159">
        <v>3.75</v>
      </c>
      <c r="B159">
        <v>0</v>
      </c>
      <c r="C159">
        <v>1</v>
      </c>
      <c r="D159">
        <v>4</v>
      </c>
      <c r="E159">
        <v>1</v>
      </c>
      <c r="F159">
        <v>4</v>
      </c>
      <c r="G159">
        <v>25</v>
      </c>
    </row>
    <row r="160" spans="1:7" x14ac:dyDescent="0.35">
      <c r="A160">
        <v>2.61</v>
      </c>
      <c r="B160">
        <v>0</v>
      </c>
      <c r="C160">
        <v>1</v>
      </c>
      <c r="D160">
        <v>4</v>
      </c>
      <c r="E160">
        <v>1</v>
      </c>
      <c r="F160">
        <v>2</v>
      </c>
      <c r="G160">
        <v>13.39</v>
      </c>
    </row>
    <row r="161" spans="1:7" x14ac:dyDescent="0.35">
      <c r="A161">
        <v>2</v>
      </c>
      <c r="B161">
        <v>1</v>
      </c>
      <c r="C161">
        <v>1</v>
      </c>
      <c r="D161">
        <v>4</v>
      </c>
      <c r="E161">
        <v>1</v>
      </c>
      <c r="F161">
        <v>4</v>
      </c>
      <c r="G161">
        <v>16.489999999999998</v>
      </c>
    </row>
    <row r="162" spans="1:7" x14ac:dyDescent="0.35">
      <c r="A162">
        <v>3.5</v>
      </c>
      <c r="B162">
        <v>1</v>
      </c>
      <c r="C162">
        <v>1</v>
      </c>
      <c r="D162">
        <v>4</v>
      </c>
      <c r="E162">
        <v>1</v>
      </c>
      <c r="F162">
        <v>4</v>
      </c>
      <c r="G162">
        <v>21.5</v>
      </c>
    </row>
    <row r="163" spans="1:7" x14ac:dyDescent="0.35">
      <c r="A163">
        <v>2.5</v>
      </c>
      <c r="B163">
        <v>1</v>
      </c>
      <c r="C163">
        <v>1</v>
      </c>
      <c r="D163">
        <v>4</v>
      </c>
      <c r="E163">
        <v>1</v>
      </c>
      <c r="F163">
        <v>2</v>
      </c>
      <c r="G163">
        <v>12.66</v>
      </c>
    </row>
    <row r="164" spans="1:7" x14ac:dyDescent="0.35">
      <c r="A164">
        <v>2</v>
      </c>
      <c r="B164">
        <v>0</v>
      </c>
      <c r="C164">
        <v>1</v>
      </c>
      <c r="D164">
        <v>4</v>
      </c>
      <c r="E164">
        <v>1</v>
      </c>
      <c r="F164">
        <v>3</v>
      </c>
      <c r="G164">
        <v>16.21</v>
      </c>
    </row>
    <row r="165" spans="1:7" x14ac:dyDescent="0.35">
      <c r="A165">
        <v>2</v>
      </c>
      <c r="B165">
        <v>1</v>
      </c>
      <c r="C165">
        <v>1</v>
      </c>
      <c r="D165">
        <v>4</v>
      </c>
      <c r="E165">
        <v>1</v>
      </c>
      <c r="F165">
        <v>2</v>
      </c>
      <c r="G165">
        <v>13.81</v>
      </c>
    </row>
    <row r="166" spans="1:7" x14ac:dyDescent="0.35">
      <c r="A166">
        <v>3</v>
      </c>
      <c r="B166">
        <v>0</v>
      </c>
      <c r="C166">
        <v>0</v>
      </c>
      <c r="D166">
        <v>4</v>
      </c>
      <c r="E166">
        <v>1</v>
      </c>
      <c r="F166">
        <v>2</v>
      </c>
      <c r="G166">
        <v>17.510000000000002</v>
      </c>
    </row>
    <row r="167" spans="1:7" x14ac:dyDescent="0.35">
      <c r="A167">
        <v>3.48</v>
      </c>
      <c r="B167">
        <v>1</v>
      </c>
      <c r="C167">
        <v>1</v>
      </c>
      <c r="D167">
        <v>4</v>
      </c>
      <c r="E167">
        <v>1</v>
      </c>
      <c r="F167">
        <v>3</v>
      </c>
      <c r="G167">
        <v>24.52</v>
      </c>
    </row>
    <row r="168" spans="1:7" x14ac:dyDescent="0.35">
      <c r="A168">
        <v>2.2400000000000002</v>
      </c>
      <c r="B168">
        <v>1</v>
      </c>
      <c r="C168">
        <v>1</v>
      </c>
      <c r="D168">
        <v>4</v>
      </c>
      <c r="E168">
        <v>1</v>
      </c>
      <c r="F168">
        <v>2</v>
      </c>
      <c r="G168">
        <v>20.76</v>
      </c>
    </row>
    <row r="169" spans="1:7" x14ac:dyDescent="0.35">
      <c r="A169">
        <v>4.5</v>
      </c>
      <c r="B169">
        <v>1</v>
      </c>
      <c r="C169">
        <v>1</v>
      </c>
      <c r="D169">
        <v>4</v>
      </c>
      <c r="E169">
        <v>1</v>
      </c>
      <c r="F169">
        <v>4</v>
      </c>
      <c r="G169">
        <v>31.71</v>
      </c>
    </row>
    <row r="170" spans="1:7" x14ac:dyDescent="0.35">
      <c r="A170">
        <v>1.61</v>
      </c>
      <c r="B170">
        <v>0</v>
      </c>
      <c r="C170">
        <v>0</v>
      </c>
      <c r="D170">
        <v>3</v>
      </c>
      <c r="E170">
        <v>1</v>
      </c>
      <c r="F170">
        <v>2</v>
      </c>
      <c r="G170">
        <v>10.59</v>
      </c>
    </row>
    <row r="171" spans="1:7" x14ac:dyDescent="0.35">
      <c r="A171">
        <v>2</v>
      </c>
      <c r="B171">
        <v>0</v>
      </c>
      <c r="C171">
        <v>0</v>
      </c>
      <c r="D171">
        <v>3</v>
      </c>
      <c r="E171">
        <v>1</v>
      </c>
      <c r="F171">
        <v>2</v>
      </c>
      <c r="G171">
        <v>10.63</v>
      </c>
    </row>
    <row r="172" spans="1:7" x14ac:dyDescent="0.35">
      <c r="A172">
        <v>10</v>
      </c>
      <c r="B172">
        <v>1</v>
      </c>
      <c r="C172">
        <v>0</v>
      </c>
      <c r="D172">
        <v>3</v>
      </c>
      <c r="E172">
        <v>1</v>
      </c>
      <c r="F172">
        <v>3</v>
      </c>
      <c r="G172">
        <v>50.81</v>
      </c>
    </row>
    <row r="173" spans="1:7" x14ac:dyDescent="0.35">
      <c r="A173">
        <v>3.16</v>
      </c>
      <c r="B173">
        <v>1</v>
      </c>
      <c r="C173">
        <v>0</v>
      </c>
      <c r="D173">
        <v>3</v>
      </c>
      <c r="E173">
        <v>1</v>
      </c>
      <c r="F173">
        <v>2</v>
      </c>
      <c r="G173">
        <v>15.81</v>
      </c>
    </row>
    <row r="174" spans="1:7" x14ac:dyDescent="0.35">
      <c r="A174">
        <v>5.15</v>
      </c>
      <c r="B174">
        <v>1</v>
      </c>
      <c r="C174">
        <v>0</v>
      </c>
      <c r="D174">
        <v>4</v>
      </c>
      <c r="E174">
        <v>1</v>
      </c>
      <c r="F174">
        <v>2</v>
      </c>
      <c r="G174">
        <v>7.25</v>
      </c>
    </row>
    <row r="175" spans="1:7" x14ac:dyDescent="0.35">
      <c r="A175">
        <v>3.18</v>
      </c>
      <c r="B175">
        <v>1</v>
      </c>
      <c r="C175">
        <v>0</v>
      </c>
      <c r="D175">
        <v>4</v>
      </c>
      <c r="E175">
        <v>1</v>
      </c>
      <c r="F175">
        <v>2</v>
      </c>
      <c r="G175">
        <v>31.85</v>
      </c>
    </row>
    <row r="176" spans="1:7" x14ac:dyDescent="0.35">
      <c r="A176">
        <v>4</v>
      </c>
      <c r="B176">
        <v>1</v>
      </c>
      <c r="C176">
        <v>0</v>
      </c>
      <c r="D176">
        <v>4</v>
      </c>
      <c r="E176">
        <v>1</v>
      </c>
      <c r="F176">
        <v>2</v>
      </c>
      <c r="G176">
        <v>16.82</v>
      </c>
    </row>
    <row r="177" spans="1:7" x14ac:dyDescent="0.35">
      <c r="A177">
        <v>3.11</v>
      </c>
      <c r="B177">
        <v>1</v>
      </c>
      <c r="C177">
        <v>0</v>
      </c>
      <c r="D177">
        <v>4</v>
      </c>
      <c r="E177">
        <v>1</v>
      </c>
      <c r="F177">
        <v>2</v>
      </c>
      <c r="G177">
        <v>32.9</v>
      </c>
    </row>
    <row r="178" spans="1:7" x14ac:dyDescent="0.35">
      <c r="A178">
        <v>2</v>
      </c>
      <c r="B178">
        <v>1</v>
      </c>
      <c r="C178">
        <v>0</v>
      </c>
      <c r="D178">
        <v>4</v>
      </c>
      <c r="E178">
        <v>1</v>
      </c>
      <c r="F178">
        <v>2</v>
      </c>
      <c r="G178">
        <v>17.89</v>
      </c>
    </row>
    <row r="179" spans="1:7" x14ac:dyDescent="0.35">
      <c r="A179">
        <v>2</v>
      </c>
      <c r="B179">
        <v>1</v>
      </c>
      <c r="C179">
        <v>0</v>
      </c>
      <c r="D179">
        <v>4</v>
      </c>
      <c r="E179">
        <v>1</v>
      </c>
      <c r="F179">
        <v>2</v>
      </c>
      <c r="G179">
        <v>14.48</v>
      </c>
    </row>
    <row r="180" spans="1:7" x14ac:dyDescent="0.35">
      <c r="A180">
        <v>4</v>
      </c>
      <c r="B180">
        <v>0</v>
      </c>
      <c r="C180">
        <v>0</v>
      </c>
      <c r="D180">
        <v>4</v>
      </c>
      <c r="E180">
        <v>1</v>
      </c>
      <c r="F180">
        <v>2</v>
      </c>
      <c r="G180">
        <v>9.6</v>
      </c>
    </row>
    <row r="181" spans="1:7" x14ac:dyDescent="0.35">
      <c r="A181">
        <v>3.55</v>
      </c>
      <c r="B181">
        <v>1</v>
      </c>
      <c r="C181">
        <v>0</v>
      </c>
      <c r="D181">
        <v>4</v>
      </c>
      <c r="E181">
        <v>1</v>
      </c>
      <c r="F181">
        <v>2</v>
      </c>
      <c r="G181">
        <v>34.630000000000003</v>
      </c>
    </row>
    <row r="182" spans="1:7" x14ac:dyDescent="0.35">
      <c r="A182">
        <v>3.68</v>
      </c>
      <c r="B182">
        <v>1</v>
      </c>
      <c r="C182">
        <v>0</v>
      </c>
      <c r="D182">
        <v>4</v>
      </c>
      <c r="E182">
        <v>1</v>
      </c>
      <c r="F182">
        <v>4</v>
      </c>
      <c r="G182">
        <v>34.65</v>
      </c>
    </row>
    <row r="183" spans="1:7" x14ac:dyDescent="0.35">
      <c r="A183">
        <v>5.65</v>
      </c>
      <c r="B183">
        <v>1</v>
      </c>
      <c r="C183">
        <v>0</v>
      </c>
      <c r="D183">
        <v>4</v>
      </c>
      <c r="E183">
        <v>1</v>
      </c>
      <c r="F183">
        <v>2</v>
      </c>
      <c r="G183">
        <v>23.33</v>
      </c>
    </row>
    <row r="184" spans="1:7" x14ac:dyDescent="0.35">
      <c r="A184">
        <v>3.5</v>
      </c>
      <c r="B184">
        <v>1</v>
      </c>
      <c r="C184">
        <v>0</v>
      </c>
      <c r="D184">
        <v>4</v>
      </c>
      <c r="E184">
        <v>1</v>
      </c>
      <c r="F184">
        <v>3</v>
      </c>
      <c r="G184">
        <v>45.35</v>
      </c>
    </row>
    <row r="185" spans="1:7" x14ac:dyDescent="0.35">
      <c r="A185">
        <v>6.5</v>
      </c>
      <c r="B185">
        <v>1</v>
      </c>
      <c r="C185">
        <v>0</v>
      </c>
      <c r="D185">
        <v>4</v>
      </c>
      <c r="E185">
        <v>1</v>
      </c>
      <c r="F185">
        <v>4</v>
      </c>
      <c r="G185">
        <v>23.17</v>
      </c>
    </row>
    <row r="186" spans="1:7" x14ac:dyDescent="0.35">
      <c r="A186">
        <v>3</v>
      </c>
      <c r="B186">
        <v>1</v>
      </c>
      <c r="C186">
        <v>0</v>
      </c>
      <c r="D186">
        <v>4</v>
      </c>
      <c r="E186">
        <v>1</v>
      </c>
      <c r="F186">
        <v>2</v>
      </c>
      <c r="G186">
        <v>40.549999999999997</v>
      </c>
    </row>
    <row r="187" spans="1:7" x14ac:dyDescent="0.35">
      <c r="A187">
        <v>5</v>
      </c>
      <c r="B187">
        <v>1</v>
      </c>
      <c r="C187">
        <v>1</v>
      </c>
      <c r="D187">
        <v>4</v>
      </c>
      <c r="E187">
        <v>1</v>
      </c>
      <c r="F187">
        <v>5</v>
      </c>
      <c r="G187">
        <v>20.69</v>
      </c>
    </row>
    <row r="188" spans="1:7" x14ac:dyDescent="0.35">
      <c r="A188">
        <v>3.5</v>
      </c>
      <c r="B188">
        <v>0</v>
      </c>
      <c r="C188">
        <v>0</v>
      </c>
      <c r="D188">
        <v>4</v>
      </c>
      <c r="E188">
        <v>1</v>
      </c>
      <c r="F188">
        <v>3</v>
      </c>
      <c r="G188">
        <v>20.9</v>
      </c>
    </row>
    <row r="189" spans="1:7" x14ac:dyDescent="0.35">
      <c r="A189">
        <v>2</v>
      </c>
      <c r="B189">
        <v>1</v>
      </c>
      <c r="C189">
        <v>0</v>
      </c>
      <c r="D189">
        <v>4</v>
      </c>
      <c r="E189">
        <v>1</v>
      </c>
      <c r="F189">
        <v>5</v>
      </c>
      <c r="G189">
        <v>30.46</v>
      </c>
    </row>
    <row r="190" spans="1:7" x14ac:dyDescent="0.35">
      <c r="A190">
        <v>3.5</v>
      </c>
      <c r="B190">
        <v>0</v>
      </c>
      <c r="C190">
        <v>0</v>
      </c>
      <c r="D190">
        <v>4</v>
      </c>
      <c r="E190">
        <v>1</v>
      </c>
      <c r="F190">
        <v>3</v>
      </c>
      <c r="G190">
        <v>18.149999999999999</v>
      </c>
    </row>
    <row r="191" spans="1:7" x14ac:dyDescent="0.35">
      <c r="A191">
        <v>4</v>
      </c>
      <c r="B191">
        <v>1</v>
      </c>
      <c r="C191">
        <v>0</v>
      </c>
      <c r="D191">
        <v>4</v>
      </c>
      <c r="E191">
        <v>1</v>
      </c>
      <c r="F191">
        <v>3</v>
      </c>
      <c r="G191">
        <v>23.1</v>
      </c>
    </row>
    <row r="192" spans="1:7" x14ac:dyDescent="0.35">
      <c r="A192">
        <v>1.5</v>
      </c>
      <c r="B192">
        <v>1</v>
      </c>
      <c r="C192">
        <v>0</v>
      </c>
      <c r="D192">
        <v>4</v>
      </c>
      <c r="E192">
        <v>1</v>
      </c>
      <c r="F192">
        <v>2</v>
      </c>
      <c r="G192">
        <v>15.69</v>
      </c>
    </row>
    <row r="193" spans="1:7" x14ac:dyDescent="0.35">
      <c r="A193">
        <v>4.1900000000000004</v>
      </c>
      <c r="B193">
        <v>0</v>
      </c>
      <c r="C193">
        <v>0</v>
      </c>
      <c r="D193">
        <v>1</v>
      </c>
      <c r="E193">
        <v>0</v>
      </c>
      <c r="F193">
        <v>2</v>
      </c>
      <c r="G193">
        <v>19.809999999999999</v>
      </c>
    </row>
    <row r="194" spans="1:7" x14ac:dyDescent="0.35">
      <c r="A194">
        <v>2.56</v>
      </c>
      <c r="B194">
        <v>1</v>
      </c>
      <c r="C194">
        <v>0</v>
      </c>
      <c r="D194">
        <v>1</v>
      </c>
      <c r="E194">
        <v>0</v>
      </c>
      <c r="F194">
        <v>2</v>
      </c>
      <c r="G194">
        <v>28.44</v>
      </c>
    </row>
    <row r="195" spans="1:7" x14ac:dyDescent="0.35">
      <c r="A195">
        <v>2.02</v>
      </c>
      <c r="B195">
        <v>1</v>
      </c>
      <c r="C195">
        <v>0</v>
      </c>
      <c r="D195">
        <v>1</v>
      </c>
      <c r="E195">
        <v>0</v>
      </c>
      <c r="F195">
        <v>2</v>
      </c>
      <c r="G195">
        <v>15.48</v>
      </c>
    </row>
    <row r="196" spans="1:7" x14ac:dyDescent="0.35">
      <c r="A196">
        <v>4</v>
      </c>
      <c r="B196">
        <v>1</v>
      </c>
      <c r="C196">
        <v>0</v>
      </c>
      <c r="D196">
        <v>1</v>
      </c>
      <c r="E196">
        <v>0</v>
      </c>
      <c r="F196">
        <v>2</v>
      </c>
      <c r="G196">
        <v>16.579999999999998</v>
      </c>
    </row>
    <row r="197" spans="1:7" x14ac:dyDescent="0.35">
      <c r="A197">
        <v>1.44</v>
      </c>
      <c r="B197">
        <v>1</v>
      </c>
      <c r="C197">
        <v>1</v>
      </c>
      <c r="D197">
        <v>1</v>
      </c>
      <c r="E197">
        <v>0</v>
      </c>
      <c r="F197">
        <v>2</v>
      </c>
      <c r="G197">
        <v>7.56</v>
      </c>
    </row>
    <row r="198" spans="1:7" x14ac:dyDescent="0.35">
      <c r="A198">
        <v>2</v>
      </c>
      <c r="B198">
        <v>1</v>
      </c>
      <c r="C198">
        <v>0</v>
      </c>
      <c r="D198">
        <v>1</v>
      </c>
      <c r="E198">
        <v>0</v>
      </c>
      <c r="F198">
        <v>2</v>
      </c>
      <c r="G198">
        <v>10.34</v>
      </c>
    </row>
    <row r="199" spans="1:7" x14ac:dyDescent="0.35">
      <c r="A199">
        <v>5</v>
      </c>
      <c r="B199">
        <v>0</v>
      </c>
      <c r="C199">
        <v>0</v>
      </c>
      <c r="D199">
        <v>1</v>
      </c>
      <c r="E199">
        <v>0</v>
      </c>
      <c r="F199">
        <v>4</v>
      </c>
      <c r="G199">
        <v>43.11</v>
      </c>
    </row>
    <row r="200" spans="1:7" x14ac:dyDescent="0.35">
      <c r="A200">
        <v>2</v>
      </c>
      <c r="B200">
        <v>0</v>
      </c>
      <c r="C200">
        <v>0</v>
      </c>
      <c r="D200">
        <v>1</v>
      </c>
      <c r="E200">
        <v>0</v>
      </c>
      <c r="F200">
        <v>2</v>
      </c>
      <c r="G200">
        <v>13</v>
      </c>
    </row>
    <row r="201" spans="1:7" x14ac:dyDescent="0.35">
      <c r="A201">
        <v>2</v>
      </c>
      <c r="B201">
        <v>1</v>
      </c>
      <c r="C201">
        <v>0</v>
      </c>
      <c r="D201">
        <v>1</v>
      </c>
      <c r="E201">
        <v>0</v>
      </c>
      <c r="F201">
        <v>2</v>
      </c>
      <c r="G201">
        <v>13.51</v>
      </c>
    </row>
    <row r="202" spans="1:7" x14ac:dyDescent="0.35">
      <c r="A202">
        <v>4</v>
      </c>
      <c r="B202">
        <v>1</v>
      </c>
      <c r="C202">
        <v>0</v>
      </c>
      <c r="D202">
        <v>1</v>
      </c>
      <c r="E202">
        <v>0</v>
      </c>
      <c r="F202">
        <v>3</v>
      </c>
      <c r="G202">
        <v>18.71</v>
      </c>
    </row>
    <row r="203" spans="1:7" x14ac:dyDescent="0.35">
      <c r="A203">
        <v>2.0099999999999998</v>
      </c>
      <c r="B203">
        <v>0</v>
      </c>
      <c r="C203">
        <v>0</v>
      </c>
      <c r="D203">
        <v>1</v>
      </c>
      <c r="E203">
        <v>0</v>
      </c>
      <c r="F203">
        <v>2</v>
      </c>
      <c r="G203">
        <v>12.74</v>
      </c>
    </row>
    <row r="204" spans="1:7" x14ac:dyDescent="0.35">
      <c r="A204">
        <v>2.5</v>
      </c>
      <c r="B204">
        <v>0</v>
      </c>
      <c r="C204">
        <v>0</v>
      </c>
      <c r="D204">
        <v>1</v>
      </c>
      <c r="E204">
        <v>0</v>
      </c>
      <c r="F204">
        <v>2</v>
      </c>
      <c r="G204">
        <v>16.399999999999999</v>
      </c>
    </row>
    <row r="205" spans="1:7" x14ac:dyDescent="0.35">
      <c r="A205">
        <v>4</v>
      </c>
      <c r="B205">
        <v>1</v>
      </c>
      <c r="C205">
        <v>0</v>
      </c>
      <c r="D205">
        <v>1</v>
      </c>
      <c r="E205">
        <v>0</v>
      </c>
      <c r="F205">
        <v>4</v>
      </c>
      <c r="G205">
        <v>20.53</v>
      </c>
    </row>
    <row r="206" spans="1:7" x14ac:dyDescent="0.35">
      <c r="A206">
        <v>3.23</v>
      </c>
      <c r="B206">
        <v>0</v>
      </c>
      <c r="C206">
        <v>0</v>
      </c>
      <c r="D206">
        <v>1</v>
      </c>
      <c r="E206">
        <v>0</v>
      </c>
      <c r="F206">
        <v>3</v>
      </c>
      <c r="G206">
        <v>16.47</v>
      </c>
    </row>
    <row r="207" spans="1:7" x14ac:dyDescent="0.35">
      <c r="A207">
        <v>3.41</v>
      </c>
      <c r="B207">
        <v>1</v>
      </c>
      <c r="C207">
        <v>0</v>
      </c>
      <c r="D207">
        <v>3</v>
      </c>
      <c r="E207">
        <v>1</v>
      </c>
      <c r="F207">
        <v>3</v>
      </c>
      <c r="G207">
        <v>26.59</v>
      </c>
    </row>
    <row r="208" spans="1:7" x14ac:dyDescent="0.35">
      <c r="A208">
        <v>3</v>
      </c>
      <c r="B208">
        <v>1</v>
      </c>
      <c r="C208">
        <v>0</v>
      </c>
      <c r="D208">
        <v>3</v>
      </c>
      <c r="E208">
        <v>1</v>
      </c>
      <c r="F208">
        <v>4</v>
      </c>
      <c r="G208">
        <v>38.729999999999997</v>
      </c>
    </row>
    <row r="209" spans="1:7" x14ac:dyDescent="0.35">
      <c r="A209">
        <v>2.0299999999999998</v>
      </c>
      <c r="B209">
        <v>1</v>
      </c>
      <c r="C209">
        <v>0</v>
      </c>
      <c r="D209">
        <v>3</v>
      </c>
      <c r="E209">
        <v>1</v>
      </c>
      <c r="F209">
        <v>2</v>
      </c>
      <c r="G209">
        <v>24.27</v>
      </c>
    </row>
    <row r="210" spans="1:7" x14ac:dyDescent="0.35">
      <c r="A210">
        <v>2.23</v>
      </c>
      <c r="B210">
        <v>0</v>
      </c>
      <c r="C210">
        <v>0</v>
      </c>
      <c r="D210">
        <v>3</v>
      </c>
      <c r="E210">
        <v>1</v>
      </c>
      <c r="F210">
        <v>2</v>
      </c>
      <c r="G210">
        <v>12.76</v>
      </c>
    </row>
    <row r="211" spans="1:7" x14ac:dyDescent="0.35">
      <c r="A211">
        <v>2</v>
      </c>
      <c r="B211">
        <v>1</v>
      </c>
      <c r="C211">
        <v>0</v>
      </c>
      <c r="D211">
        <v>3</v>
      </c>
      <c r="E211">
        <v>1</v>
      </c>
      <c r="F211">
        <v>3</v>
      </c>
      <c r="G211">
        <v>30.06</v>
      </c>
    </row>
    <row r="212" spans="1:7" x14ac:dyDescent="0.35">
      <c r="A212">
        <v>5.16</v>
      </c>
      <c r="B212">
        <v>1</v>
      </c>
      <c r="C212">
        <v>0</v>
      </c>
      <c r="D212">
        <v>3</v>
      </c>
      <c r="E212">
        <v>1</v>
      </c>
      <c r="F212">
        <v>4</v>
      </c>
      <c r="G212">
        <v>25.89</v>
      </c>
    </row>
    <row r="213" spans="1:7" x14ac:dyDescent="0.35">
      <c r="A213">
        <v>9</v>
      </c>
      <c r="B213">
        <v>1</v>
      </c>
      <c r="C213">
        <v>1</v>
      </c>
      <c r="D213">
        <v>3</v>
      </c>
      <c r="E213">
        <v>1</v>
      </c>
      <c r="F213">
        <v>4</v>
      </c>
      <c r="G213">
        <v>48.33</v>
      </c>
    </row>
    <row r="214" spans="1:7" x14ac:dyDescent="0.35">
      <c r="A214">
        <v>2.5</v>
      </c>
      <c r="B214">
        <v>0</v>
      </c>
      <c r="C214">
        <v>0</v>
      </c>
      <c r="D214">
        <v>3</v>
      </c>
      <c r="E214">
        <v>1</v>
      </c>
      <c r="F214">
        <v>2</v>
      </c>
      <c r="G214">
        <v>13.27</v>
      </c>
    </row>
    <row r="215" spans="1:7" x14ac:dyDescent="0.35">
      <c r="A215">
        <v>6.5</v>
      </c>
      <c r="B215">
        <v>0</v>
      </c>
      <c r="C215">
        <v>0</v>
      </c>
      <c r="D215">
        <v>3</v>
      </c>
      <c r="E215">
        <v>1</v>
      </c>
      <c r="F215">
        <v>3</v>
      </c>
      <c r="G215">
        <v>28.17</v>
      </c>
    </row>
    <row r="216" spans="1:7" x14ac:dyDescent="0.35">
      <c r="A216">
        <v>1.1000000000000001</v>
      </c>
      <c r="B216">
        <v>0</v>
      </c>
      <c r="C216">
        <v>0</v>
      </c>
      <c r="D216">
        <v>3</v>
      </c>
      <c r="E216">
        <v>1</v>
      </c>
      <c r="F216">
        <v>2</v>
      </c>
      <c r="G216">
        <v>12.9</v>
      </c>
    </row>
    <row r="217" spans="1:7" x14ac:dyDescent="0.35">
      <c r="A217">
        <v>3</v>
      </c>
      <c r="B217">
        <v>1</v>
      </c>
      <c r="C217">
        <v>0</v>
      </c>
      <c r="D217">
        <v>3</v>
      </c>
      <c r="E217">
        <v>1</v>
      </c>
      <c r="F217">
        <v>5</v>
      </c>
      <c r="G217">
        <v>28.15</v>
      </c>
    </row>
    <row r="218" spans="1:7" x14ac:dyDescent="0.35">
      <c r="A218">
        <v>1.5</v>
      </c>
      <c r="B218">
        <v>1</v>
      </c>
      <c r="C218">
        <v>0</v>
      </c>
      <c r="D218">
        <v>3</v>
      </c>
      <c r="E218">
        <v>1</v>
      </c>
      <c r="F218">
        <v>2</v>
      </c>
      <c r="G218">
        <v>11.59</v>
      </c>
    </row>
    <row r="219" spans="1:7" x14ac:dyDescent="0.35">
      <c r="A219">
        <v>1.44</v>
      </c>
      <c r="B219">
        <v>1</v>
      </c>
      <c r="C219">
        <v>0</v>
      </c>
      <c r="D219">
        <v>3</v>
      </c>
      <c r="E219">
        <v>1</v>
      </c>
      <c r="F219">
        <v>2</v>
      </c>
      <c r="G219">
        <v>7.74</v>
      </c>
    </row>
    <row r="220" spans="1:7" x14ac:dyDescent="0.35">
      <c r="A220">
        <v>3.09</v>
      </c>
      <c r="B220">
        <v>0</v>
      </c>
      <c r="C220">
        <v>0</v>
      </c>
      <c r="D220">
        <v>3</v>
      </c>
      <c r="E220">
        <v>1</v>
      </c>
      <c r="F220">
        <v>4</v>
      </c>
      <c r="G220">
        <v>30.14</v>
      </c>
    </row>
    <row r="221" spans="1:7" x14ac:dyDescent="0.35">
      <c r="A221">
        <v>2.2000000000000002</v>
      </c>
      <c r="B221">
        <v>1</v>
      </c>
      <c r="C221">
        <v>0</v>
      </c>
      <c r="D221">
        <v>2</v>
      </c>
      <c r="E221">
        <v>0</v>
      </c>
      <c r="F221">
        <v>2</v>
      </c>
      <c r="G221">
        <v>12.16</v>
      </c>
    </row>
    <row r="222" spans="1:7" x14ac:dyDescent="0.35">
      <c r="A222">
        <v>3.48</v>
      </c>
      <c r="B222">
        <v>0</v>
      </c>
      <c r="C222">
        <v>0</v>
      </c>
      <c r="D222">
        <v>2</v>
      </c>
      <c r="E222">
        <v>0</v>
      </c>
      <c r="F222">
        <v>2</v>
      </c>
      <c r="G222">
        <v>13.42</v>
      </c>
    </row>
    <row r="223" spans="1:7" x14ac:dyDescent="0.35">
      <c r="A223">
        <v>1.92</v>
      </c>
      <c r="B223">
        <v>1</v>
      </c>
      <c r="C223">
        <v>0</v>
      </c>
      <c r="D223">
        <v>2</v>
      </c>
      <c r="E223">
        <v>0</v>
      </c>
      <c r="F223">
        <v>1</v>
      </c>
      <c r="G223">
        <v>8.58</v>
      </c>
    </row>
    <row r="224" spans="1:7" x14ac:dyDescent="0.35">
      <c r="A224">
        <v>3</v>
      </c>
      <c r="B224">
        <v>0</v>
      </c>
      <c r="C224">
        <v>1</v>
      </c>
      <c r="D224">
        <v>2</v>
      </c>
      <c r="E224">
        <v>0</v>
      </c>
      <c r="F224">
        <v>3</v>
      </c>
      <c r="G224">
        <v>15.98</v>
      </c>
    </row>
    <row r="225" spans="1:7" x14ac:dyDescent="0.35">
      <c r="A225">
        <v>1.58</v>
      </c>
      <c r="B225">
        <v>1</v>
      </c>
      <c r="C225">
        <v>0</v>
      </c>
      <c r="D225">
        <v>2</v>
      </c>
      <c r="E225">
        <v>0</v>
      </c>
      <c r="F225">
        <v>2</v>
      </c>
      <c r="G225">
        <v>13.42</v>
      </c>
    </row>
    <row r="226" spans="1:7" x14ac:dyDescent="0.35">
      <c r="A226">
        <v>2.5</v>
      </c>
      <c r="B226">
        <v>0</v>
      </c>
      <c r="C226">
        <v>0</v>
      </c>
      <c r="D226">
        <v>2</v>
      </c>
      <c r="E226">
        <v>0</v>
      </c>
      <c r="F226">
        <v>2</v>
      </c>
      <c r="G226">
        <v>16.27</v>
      </c>
    </row>
    <row r="227" spans="1:7" x14ac:dyDescent="0.35">
      <c r="A227">
        <v>2</v>
      </c>
      <c r="B227">
        <v>0</v>
      </c>
      <c r="C227">
        <v>0</v>
      </c>
      <c r="D227">
        <v>2</v>
      </c>
      <c r="E227">
        <v>0</v>
      </c>
      <c r="F227">
        <v>2</v>
      </c>
      <c r="G227">
        <v>10.09</v>
      </c>
    </row>
    <row r="228" spans="1:7" x14ac:dyDescent="0.35">
      <c r="A228">
        <v>3</v>
      </c>
      <c r="B228">
        <v>1</v>
      </c>
      <c r="C228">
        <v>1</v>
      </c>
      <c r="D228">
        <v>3</v>
      </c>
      <c r="E228">
        <v>1</v>
      </c>
      <c r="F228">
        <v>4</v>
      </c>
      <c r="G228">
        <v>20.45</v>
      </c>
    </row>
    <row r="229" spans="1:7" x14ac:dyDescent="0.35">
      <c r="A229">
        <v>2.72</v>
      </c>
      <c r="B229">
        <v>1</v>
      </c>
      <c r="C229">
        <v>1</v>
      </c>
      <c r="D229">
        <v>3</v>
      </c>
      <c r="E229">
        <v>1</v>
      </c>
      <c r="F229">
        <v>2</v>
      </c>
      <c r="G229">
        <v>13.28</v>
      </c>
    </row>
    <row r="230" spans="1:7" x14ac:dyDescent="0.35">
      <c r="A230">
        <v>2.88</v>
      </c>
      <c r="B230">
        <v>0</v>
      </c>
      <c r="C230">
        <v>0</v>
      </c>
      <c r="D230">
        <v>3</v>
      </c>
      <c r="E230">
        <v>1</v>
      </c>
      <c r="F230">
        <v>2</v>
      </c>
      <c r="G230">
        <v>22.12</v>
      </c>
    </row>
    <row r="231" spans="1:7" x14ac:dyDescent="0.35">
      <c r="A231">
        <v>2</v>
      </c>
      <c r="B231">
        <v>1</v>
      </c>
      <c r="C231">
        <v>0</v>
      </c>
      <c r="D231">
        <v>3</v>
      </c>
      <c r="E231">
        <v>1</v>
      </c>
      <c r="F231">
        <v>4</v>
      </c>
      <c r="G231">
        <v>24.01</v>
      </c>
    </row>
    <row r="232" spans="1:7" x14ac:dyDescent="0.35">
      <c r="A232">
        <v>3</v>
      </c>
      <c r="B232">
        <v>1</v>
      </c>
      <c r="C232">
        <v>0</v>
      </c>
      <c r="D232">
        <v>3</v>
      </c>
      <c r="E232">
        <v>1</v>
      </c>
      <c r="F232">
        <v>3</v>
      </c>
      <c r="G232">
        <v>15.69</v>
      </c>
    </row>
    <row r="233" spans="1:7" x14ac:dyDescent="0.35">
      <c r="A233">
        <v>3.39</v>
      </c>
      <c r="B233">
        <v>1</v>
      </c>
      <c r="C233">
        <v>1</v>
      </c>
      <c r="D233">
        <v>3</v>
      </c>
      <c r="E233">
        <v>1</v>
      </c>
      <c r="F233">
        <v>2</v>
      </c>
      <c r="G233">
        <v>11.61</v>
      </c>
    </row>
    <row r="234" spans="1:7" x14ac:dyDescent="0.35">
      <c r="A234">
        <v>1.47</v>
      </c>
      <c r="B234">
        <v>1</v>
      </c>
      <c r="C234">
        <v>1</v>
      </c>
      <c r="D234">
        <v>3</v>
      </c>
      <c r="E234">
        <v>1</v>
      </c>
      <c r="F234">
        <v>2</v>
      </c>
      <c r="G234">
        <v>10.77</v>
      </c>
    </row>
    <row r="235" spans="1:7" x14ac:dyDescent="0.35">
      <c r="A235">
        <v>3</v>
      </c>
      <c r="B235">
        <v>1</v>
      </c>
      <c r="C235">
        <v>0</v>
      </c>
      <c r="D235">
        <v>3</v>
      </c>
      <c r="E235">
        <v>1</v>
      </c>
      <c r="F235">
        <v>2</v>
      </c>
      <c r="G235">
        <v>15.53</v>
      </c>
    </row>
    <row r="236" spans="1:7" x14ac:dyDescent="0.35">
      <c r="A236">
        <v>1.25</v>
      </c>
      <c r="B236">
        <v>1</v>
      </c>
      <c r="C236">
        <v>1</v>
      </c>
      <c r="D236">
        <v>3</v>
      </c>
      <c r="E236">
        <v>1</v>
      </c>
      <c r="F236">
        <v>2</v>
      </c>
      <c r="G236">
        <v>10.07</v>
      </c>
    </row>
    <row r="237" spans="1:7" x14ac:dyDescent="0.35">
      <c r="A237">
        <v>1</v>
      </c>
      <c r="B237">
        <v>1</v>
      </c>
      <c r="C237">
        <v>0</v>
      </c>
      <c r="D237">
        <v>3</v>
      </c>
      <c r="E237">
        <v>1</v>
      </c>
      <c r="F237">
        <v>2</v>
      </c>
      <c r="G237">
        <v>12.6</v>
      </c>
    </row>
    <row r="238" spans="1:7" x14ac:dyDescent="0.35">
      <c r="A238">
        <v>1.17</v>
      </c>
      <c r="B238">
        <v>1</v>
      </c>
      <c r="C238">
        <v>0</v>
      </c>
      <c r="D238">
        <v>3</v>
      </c>
      <c r="E238">
        <v>1</v>
      </c>
      <c r="F238">
        <v>2</v>
      </c>
      <c r="G238">
        <v>32.83</v>
      </c>
    </row>
    <row r="239" spans="1:7" x14ac:dyDescent="0.35">
      <c r="A239">
        <v>4.67</v>
      </c>
      <c r="B239">
        <v>0</v>
      </c>
      <c r="C239">
        <v>1</v>
      </c>
      <c r="D239">
        <v>3</v>
      </c>
      <c r="E239">
        <v>1</v>
      </c>
      <c r="F239">
        <v>3</v>
      </c>
      <c r="G239">
        <v>35.83</v>
      </c>
    </row>
    <row r="240" spans="1:7" x14ac:dyDescent="0.35">
      <c r="A240">
        <v>5.92</v>
      </c>
      <c r="B240">
        <v>1</v>
      </c>
      <c r="C240">
        <v>1</v>
      </c>
      <c r="D240">
        <v>3</v>
      </c>
      <c r="E240">
        <v>1</v>
      </c>
      <c r="F240">
        <v>3</v>
      </c>
      <c r="G240">
        <v>29.03</v>
      </c>
    </row>
    <row r="241" spans="1:7" x14ac:dyDescent="0.35">
      <c r="A241">
        <v>2</v>
      </c>
      <c r="B241">
        <v>0</v>
      </c>
      <c r="C241">
        <v>0</v>
      </c>
      <c r="D241">
        <v>3</v>
      </c>
      <c r="E241">
        <v>1</v>
      </c>
      <c r="F241">
        <v>2</v>
      </c>
      <c r="G241">
        <v>27.18</v>
      </c>
    </row>
    <row r="242" spans="1:7" x14ac:dyDescent="0.35">
      <c r="A242">
        <v>2</v>
      </c>
      <c r="B242">
        <v>1</v>
      </c>
      <c r="C242">
        <v>0</v>
      </c>
      <c r="D242">
        <v>3</v>
      </c>
      <c r="E242">
        <v>1</v>
      </c>
      <c r="F242">
        <v>2</v>
      </c>
      <c r="G242">
        <v>22.67</v>
      </c>
    </row>
    <row r="243" spans="1:7" x14ac:dyDescent="0.35">
      <c r="A243">
        <v>1.75</v>
      </c>
      <c r="B243">
        <v>1</v>
      </c>
      <c r="C243">
        <v>1</v>
      </c>
      <c r="D243">
        <v>3</v>
      </c>
      <c r="E243">
        <v>1</v>
      </c>
      <c r="F243">
        <v>2</v>
      </c>
      <c r="G243">
        <v>17.82</v>
      </c>
    </row>
    <row r="244" spans="1:7" x14ac:dyDescent="0.35">
      <c r="A244">
        <v>3</v>
      </c>
      <c r="B244">
        <v>0</v>
      </c>
      <c r="C244">
        <v>1</v>
      </c>
      <c r="D244">
        <v>1</v>
      </c>
      <c r="E244">
        <v>1</v>
      </c>
      <c r="F244">
        <v>2</v>
      </c>
      <c r="G244">
        <v>18.78</v>
      </c>
    </row>
    <row r="1048576" spans="1:1" x14ac:dyDescent="0.35">
      <c r="A1048576">
        <v>729.58</v>
      </c>
    </row>
  </sheetData>
  <mergeCells count="1">
    <mergeCell ref="K1:L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topLeftCell="A2" workbookViewId="0">
      <selection activeCell="C17" sqref="C17"/>
    </sheetView>
  </sheetViews>
  <sheetFormatPr defaultRowHeight="14.5" x14ac:dyDescent="0.35"/>
  <cols>
    <col min="1" max="1" width="16.08984375" bestFit="1" customWidth="1"/>
    <col min="2" max="2" width="12.453125" bestFit="1" customWidth="1"/>
    <col min="3" max="3" width="13.54296875" bestFit="1" customWidth="1"/>
    <col min="4" max="4" width="12.453125" bestFit="1" customWidth="1"/>
    <col min="5" max="5" width="11.81640625" bestFit="1" customWidth="1"/>
    <col min="6" max="6" width="12.453125" bestFit="1" customWidth="1"/>
    <col min="7" max="7" width="11.81640625" bestFit="1" customWidth="1"/>
    <col min="8" max="8" width="12.453125" bestFit="1" customWidth="1"/>
    <col min="9" max="9" width="12" bestFit="1" customWidth="1"/>
  </cols>
  <sheetData>
    <row r="1" spans="1:9" x14ac:dyDescent="0.35">
      <c r="A1" s="27" t="s">
        <v>42</v>
      </c>
      <c r="B1" s="27"/>
    </row>
    <row r="3" spans="1:9" x14ac:dyDescent="0.35">
      <c r="A3" s="28" t="s">
        <v>43</v>
      </c>
      <c r="B3" s="29"/>
    </row>
    <row r="4" spans="1:9" x14ac:dyDescent="0.35">
      <c r="A4" s="17" t="s">
        <v>44</v>
      </c>
      <c r="B4" s="17">
        <v>0.68422646104293572</v>
      </c>
    </row>
    <row r="5" spans="1:9" x14ac:dyDescent="0.35">
      <c r="A5" s="17" t="s">
        <v>45</v>
      </c>
      <c r="B5" s="17">
        <v>0.46816584999134009</v>
      </c>
    </row>
    <row r="6" spans="1:9" x14ac:dyDescent="0.35">
      <c r="A6" s="17" t="s">
        <v>46</v>
      </c>
      <c r="B6" s="17">
        <v>0.45464464278773009</v>
      </c>
    </row>
    <row r="7" spans="1:9" x14ac:dyDescent="0.35">
      <c r="A7" s="17" t="s">
        <v>47</v>
      </c>
      <c r="B7" s="17">
        <v>1.0227987864680839</v>
      </c>
    </row>
    <row r="8" spans="1:9" x14ac:dyDescent="0.35">
      <c r="A8" s="17" t="s">
        <v>48</v>
      </c>
      <c r="B8" s="17">
        <v>243</v>
      </c>
    </row>
    <row r="10" spans="1:9" x14ac:dyDescent="0.35">
      <c r="A10" t="s">
        <v>49</v>
      </c>
    </row>
    <row r="11" spans="1:9" x14ac:dyDescent="0.35">
      <c r="A11" s="18"/>
      <c r="B11" s="18" t="s">
        <v>54</v>
      </c>
      <c r="C11" s="18" t="s">
        <v>55</v>
      </c>
      <c r="D11" s="18" t="s">
        <v>56</v>
      </c>
      <c r="E11" s="18" t="s">
        <v>57</v>
      </c>
      <c r="F11" s="18" t="s">
        <v>58</v>
      </c>
    </row>
    <row r="12" spans="1:9" x14ac:dyDescent="0.35">
      <c r="A12" s="19" t="s">
        <v>50</v>
      </c>
      <c r="B12" s="22">
        <v>6</v>
      </c>
      <c r="C12" s="22">
        <v>217.32811924412201</v>
      </c>
      <c r="D12" s="22">
        <v>36.221353207353665</v>
      </c>
      <c r="E12" s="22">
        <v>34.624559992420309</v>
      </c>
      <c r="F12" s="22">
        <v>6.9884727907758078E-30</v>
      </c>
    </row>
    <row r="13" spans="1:9" x14ac:dyDescent="0.35">
      <c r="A13" s="19" t="s">
        <v>51</v>
      </c>
      <c r="B13" s="22">
        <v>236</v>
      </c>
      <c r="C13" s="22">
        <v>246.88369639373806</v>
      </c>
      <c r="D13" s="22">
        <v>1.0461173576005851</v>
      </c>
      <c r="E13" s="22"/>
      <c r="F13" s="22"/>
    </row>
    <row r="14" spans="1:9" x14ac:dyDescent="0.35">
      <c r="A14" s="19" t="s">
        <v>52</v>
      </c>
      <c r="B14" s="22">
        <v>242</v>
      </c>
      <c r="C14" s="22">
        <v>464.21181563786007</v>
      </c>
      <c r="D14" s="22"/>
      <c r="E14" s="22"/>
      <c r="F14" s="22"/>
    </row>
    <row r="16" spans="1:9" x14ac:dyDescent="0.35">
      <c r="A16" s="20"/>
      <c r="B16" s="20" t="s">
        <v>59</v>
      </c>
      <c r="C16" s="20" t="s">
        <v>47</v>
      </c>
      <c r="D16" s="20" t="s">
        <v>60</v>
      </c>
      <c r="E16" s="20" t="s">
        <v>61</v>
      </c>
      <c r="F16" s="20" t="s">
        <v>62</v>
      </c>
      <c r="G16" s="20" t="s">
        <v>63</v>
      </c>
      <c r="H16" s="20" t="s">
        <v>64</v>
      </c>
      <c r="I16" s="20" t="s">
        <v>65</v>
      </c>
    </row>
    <row r="17" spans="1:9" x14ac:dyDescent="0.35">
      <c r="A17" s="19" t="s">
        <v>53</v>
      </c>
      <c r="B17" s="30">
        <v>0.60223661459188182</v>
      </c>
      <c r="C17" s="22">
        <v>0.25050248489565707</v>
      </c>
      <c r="D17" s="22">
        <v>2.4041143338068447</v>
      </c>
      <c r="E17" s="22">
        <v>1.6983624851670126E-2</v>
      </c>
      <c r="F17" s="22">
        <v>0.10872997247923244</v>
      </c>
      <c r="G17" s="22">
        <v>1.0957432567045311</v>
      </c>
      <c r="H17" s="22">
        <v>0.10872997247923244</v>
      </c>
      <c r="I17" s="22">
        <v>1.0957432567045311</v>
      </c>
    </row>
    <row r="18" spans="1:9" x14ac:dyDescent="0.35">
      <c r="A18" s="19" t="s">
        <v>24</v>
      </c>
      <c r="B18" s="30">
        <v>-3.663251476637127E-2</v>
      </c>
      <c r="C18" s="22">
        <v>0.14164817734611235</v>
      </c>
      <c r="D18" s="22">
        <v>-0.25861620991324868</v>
      </c>
      <c r="E18" s="22">
        <v>0.79615678535512546</v>
      </c>
      <c r="F18" s="22">
        <v>-0.31568889375827835</v>
      </c>
      <c r="G18" s="22">
        <v>0.24242386422553583</v>
      </c>
      <c r="H18" s="22">
        <v>-0.31568889375827835</v>
      </c>
      <c r="I18" s="22">
        <v>0.24242386422553583</v>
      </c>
    </row>
    <row r="19" spans="1:9" x14ac:dyDescent="0.35">
      <c r="A19" s="19" t="s">
        <v>25</v>
      </c>
      <c r="B19" s="30">
        <v>7.2844330789933229E-2</v>
      </c>
      <c r="C19" s="22">
        <v>0.14105132937442602</v>
      </c>
      <c r="D19" s="22">
        <v>0.51643845622018369</v>
      </c>
      <c r="E19" s="22">
        <v>0.60603178137164948</v>
      </c>
      <c r="F19" s="22">
        <v>-0.20503621779661335</v>
      </c>
      <c r="G19" s="22">
        <v>0.35072487937647984</v>
      </c>
      <c r="H19" s="22">
        <v>-0.20503621779661335</v>
      </c>
      <c r="I19" s="22">
        <v>0.35072487937647984</v>
      </c>
    </row>
    <row r="20" spans="1:9" x14ac:dyDescent="0.35">
      <c r="A20" s="19" t="s">
        <v>26</v>
      </c>
      <c r="B20" s="30">
        <v>5.3005304982935729E-2</v>
      </c>
      <c r="C20" s="22">
        <v>0.12058260481989183</v>
      </c>
      <c r="D20" s="22">
        <v>0.43957671226382183</v>
      </c>
      <c r="E20" s="22">
        <v>0.66064596015396393</v>
      </c>
      <c r="F20" s="22">
        <v>-0.18455048783344555</v>
      </c>
      <c r="G20" s="22">
        <v>0.29056109779931699</v>
      </c>
      <c r="H20" s="22">
        <v>-0.18455048783344555</v>
      </c>
      <c r="I20" s="22">
        <v>0.29056109779931699</v>
      </c>
    </row>
    <row r="21" spans="1:9" x14ac:dyDescent="0.35">
      <c r="A21" s="19" t="s">
        <v>27</v>
      </c>
      <c r="B21" s="30">
        <v>-0.11600626172099007</v>
      </c>
      <c r="C21" s="22">
        <v>0.30855321573390115</v>
      </c>
      <c r="D21" s="22">
        <v>-0.37596840935547027</v>
      </c>
      <c r="E21" s="22">
        <v>0.70727812423530279</v>
      </c>
      <c r="F21" s="22">
        <v>-0.72387672445641738</v>
      </c>
      <c r="G21" s="22">
        <v>0.49186420101443729</v>
      </c>
      <c r="H21" s="22">
        <v>-0.72387672445641738</v>
      </c>
      <c r="I21" s="22">
        <v>0.49186420101443729</v>
      </c>
    </row>
    <row r="22" spans="1:9" x14ac:dyDescent="0.35">
      <c r="A22" s="19" t="s">
        <v>32</v>
      </c>
      <c r="B22" s="30">
        <v>0.17496437054700811</v>
      </c>
      <c r="C22" s="22">
        <v>8.9368964901146986E-2</v>
      </c>
      <c r="D22" s="22">
        <v>1.9577755067493523</v>
      </c>
      <c r="E22" s="22">
        <v>5.1434839462502886E-2</v>
      </c>
      <c r="F22" s="22">
        <v>-1.0984649007886871E-3</v>
      </c>
      <c r="G22" s="22">
        <v>0.35102720599480491</v>
      </c>
      <c r="H22" s="22">
        <v>-1.0984649007886871E-3</v>
      </c>
      <c r="I22" s="22">
        <v>0.35102720599480491</v>
      </c>
    </row>
    <row r="23" spans="1:9" x14ac:dyDescent="0.35">
      <c r="A23" s="19" t="s">
        <v>33</v>
      </c>
      <c r="B23" s="30">
        <v>9.4263518607442878E-2</v>
      </c>
      <c r="C23" s="22">
        <v>9.5613713006104089E-3</v>
      </c>
      <c r="D23" s="22">
        <v>9.8587865321604014</v>
      </c>
      <c r="E23" s="22">
        <v>2.0105695796112259E-19</v>
      </c>
      <c r="F23" s="22">
        <v>7.5426977937908368E-2</v>
      </c>
      <c r="G23" s="22">
        <v>0.11310005927697739</v>
      </c>
      <c r="H23" s="22">
        <v>7.5426977937908368E-2</v>
      </c>
      <c r="I23" s="22">
        <v>0.11310005927697739</v>
      </c>
    </row>
  </sheetData>
  <mergeCells count="2">
    <mergeCell ref="A1:B1"/>
    <mergeCell ref="A3:B3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8576"/>
  <sheetViews>
    <sheetView tabSelected="1" zoomScaleNormal="100" workbookViewId="0">
      <selection activeCell="N14" sqref="N14"/>
    </sheetView>
  </sheetViews>
  <sheetFormatPr defaultRowHeight="14.5" x14ac:dyDescent="0.35"/>
  <cols>
    <col min="2" max="2" width="11.54296875" bestFit="1" customWidth="1"/>
    <col min="4" max="4" width="9.36328125" bestFit="1" customWidth="1"/>
    <col min="8" max="8" width="10.08984375" style="25" bestFit="1" customWidth="1"/>
    <col min="11" max="11" width="0" hidden="1" customWidth="1"/>
    <col min="12" max="12" width="12.453125" hidden="1" customWidth="1"/>
  </cols>
  <sheetData>
    <row r="1" spans="1:12" x14ac:dyDescent="0.35">
      <c r="A1" s="23" t="s">
        <v>24</v>
      </c>
      <c r="B1" s="23" t="s">
        <v>25</v>
      </c>
      <c r="C1" s="23" t="s">
        <v>26</v>
      </c>
      <c r="D1" s="23" t="s">
        <v>27</v>
      </c>
      <c r="E1" s="13" t="s">
        <v>32</v>
      </c>
      <c r="F1" s="13" t="s">
        <v>33</v>
      </c>
      <c r="G1" s="23" t="s">
        <v>34</v>
      </c>
      <c r="H1" s="24" t="s">
        <v>66</v>
      </c>
    </row>
    <row r="2" spans="1:12" x14ac:dyDescent="0.35">
      <c r="A2">
        <v>0</v>
      </c>
      <c r="B2">
        <v>1</v>
      </c>
      <c r="C2">
        <v>4</v>
      </c>
      <c r="D2">
        <v>1</v>
      </c>
      <c r="E2">
        <v>2</v>
      </c>
      <c r="F2">
        <v>16.989999999999998</v>
      </c>
      <c r="G2">
        <v>1.01</v>
      </c>
      <c r="H2" s="25">
        <f>$L$4+$L$5*A2+$L$6*B2+$L$7*C2+$L$8*D2+$L$9*E2+$L$10*F2</f>
        <v>2.7225618258270385</v>
      </c>
    </row>
    <row r="3" spans="1:12" x14ac:dyDescent="0.35">
      <c r="A3">
        <v>1</v>
      </c>
      <c r="B3">
        <v>1</v>
      </c>
      <c r="C3">
        <v>4</v>
      </c>
      <c r="D3">
        <v>1</v>
      </c>
      <c r="E3">
        <v>3</v>
      </c>
      <c r="F3">
        <v>10.34</v>
      </c>
      <c r="G3">
        <v>1.66</v>
      </c>
      <c r="H3" s="25">
        <f t="shared" ref="H3:H66" si="0">$L$4+$L$5*A3+$L$6*B3+$L$7*C3+$L$8*D3+$L$9*E3+$L$10*F3</f>
        <v>2.2340412828681804</v>
      </c>
      <c r="K3" s="20"/>
      <c r="L3" s="20" t="s">
        <v>59</v>
      </c>
    </row>
    <row r="4" spans="1:12" x14ac:dyDescent="0.35">
      <c r="A4">
        <v>1</v>
      </c>
      <c r="B4">
        <v>1</v>
      </c>
      <c r="C4">
        <v>4</v>
      </c>
      <c r="D4">
        <v>1</v>
      </c>
      <c r="E4">
        <v>3</v>
      </c>
      <c r="F4">
        <v>21.01</v>
      </c>
      <c r="G4">
        <v>3.5</v>
      </c>
      <c r="H4" s="25">
        <f t="shared" si="0"/>
        <v>3.2398330264095963</v>
      </c>
      <c r="K4" s="19" t="s">
        <v>53</v>
      </c>
      <c r="L4" s="22">
        <v>0.60223661459188182</v>
      </c>
    </row>
    <row r="5" spans="1:12" x14ac:dyDescent="0.35">
      <c r="A5">
        <v>1</v>
      </c>
      <c r="B5">
        <v>1</v>
      </c>
      <c r="C5">
        <v>4</v>
      </c>
      <c r="D5">
        <v>1</v>
      </c>
      <c r="E5">
        <v>2</v>
      </c>
      <c r="F5">
        <v>23.68</v>
      </c>
      <c r="G5">
        <v>3.31</v>
      </c>
      <c r="H5" s="25">
        <f t="shared" si="0"/>
        <v>3.3165522505444605</v>
      </c>
      <c r="K5" s="19" t="s">
        <v>24</v>
      </c>
      <c r="L5" s="22">
        <v>-3.663251476637127E-2</v>
      </c>
    </row>
    <row r="6" spans="1:12" x14ac:dyDescent="0.35">
      <c r="A6">
        <v>0</v>
      </c>
      <c r="B6">
        <v>1</v>
      </c>
      <c r="C6">
        <v>4</v>
      </c>
      <c r="D6">
        <v>1</v>
      </c>
      <c r="E6">
        <v>4</v>
      </c>
      <c r="F6">
        <v>24.59</v>
      </c>
      <c r="G6">
        <v>3.61</v>
      </c>
      <c r="H6" s="25">
        <f t="shared" si="0"/>
        <v>3.7888933083376211</v>
      </c>
      <c r="K6" s="19" t="s">
        <v>25</v>
      </c>
      <c r="L6" s="22">
        <v>7.2844330789933229E-2</v>
      </c>
    </row>
    <row r="7" spans="1:12" x14ac:dyDescent="0.35">
      <c r="A7">
        <v>1</v>
      </c>
      <c r="B7">
        <v>1</v>
      </c>
      <c r="C7">
        <v>4</v>
      </c>
      <c r="D7">
        <v>1</v>
      </c>
      <c r="E7">
        <v>4</v>
      </c>
      <c r="F7">
        <v>25.29</v>
      </c>
      <c r="G7">
        <v>4.71</v>
      </c>
      <c r="H7" s="25">
        <f t="shared" si="0"/>
        <v>3.8182452565964597</v>
      </c>
      <c r="K7" s="19" t="s">
        <v>26</v>
      </c>
      <c r="L7" s="22">
        <v>5.3005304982935729E-2</v>
      </c>
    </row>
    <row r="8" spans="1:12" x14ac:dyDescent="0.35">
      <c r="A8">
        <v>1</v>
      </c>
      <c r="B8">
        <v>1</v>
      </c>
      <c r="C8">
        <v>4</v>
      </c>
      <c r="D8">
        <v>1</v>
      </c>
      <c r="E8">
        <v>2</v>
      </c>
      <c r="F8">
        <v>8.77</v>
      </c>
      <c r="G8">
        <v>2</v>
      </c>
      <c r="H8" s="25">
        <f t="shared" si="0"/>
        <v>1.9110831881074868</v>
      </c>
      <c r="K8" s="19" t="s">
        <v>27</v>
      </c>
      <c r="L8" s="22">
        <v>-0.11600626172099007</v>
      </c>
    </row>
    <row r="9" spans="1:12" x14ac:dyDescent="0.35">
      <c r="A9">
        <v>1</v>
      </c>
      <c r="B9">
        <v>1</v>
      </c>
      <c r="C9">
        <v>4</v>
      </c>
      <c r="D9">
        <v>1</v>
      </c>
      <c r="E9">
        <v>4</v>
      </c>
      <c r="F9">
        <v>26.88</v>
      </c>
      <c r="G9">
        <v>3.12</v>
      </c>
      <c r="H9" s="25">
        <f t="shared" si="0"/>
        <v>3.9681242511822936</v>
      </c>
      <c r="K9" s="19" t="s">
        <v>32</v>
      </c>
      <c r="L9" s="22">
        <v>0.17496437054700811</v>
      </c>
    </row>
    <row r="10" spans="1:12" x14ac:dyDescent="0.35">
      <c r="A10">
        <v>1</v>
      </c>
      <c r="B10">
        <v>1</v>
      </c>
      <c r="C10">
        <v>4</v>
      </c>
      <c r="D10">
        <v>1</v>
      </c>
      <c r="E10">
        <v>2</v>
      </c>
      <c r="F10">
        <v>15.04</v>
      </c>
      <c r="G10">
        <v>1.96</v>
      </c>
      <c r="H10" s="25">
        <f t="shared" si="0"/>
        <v>2.502115449776154</v>
      </c>
      <c r="K10" s="19" t="s">
        <v>33</v>
      </c>
      <c r="L10" s="22">
        <v>9.4263518607442878E-2</v>
      </c>
    </row>
    <row r="11" spans="1:12" x14ac:dyDescent="0.35">
      <c r="A11">
        <v>1</v>
      </c>
      <c r="B11">
        <v>1</v>
      </c>
      <c r="C11">
        <v>4</v>
      </c>
      <c r="D11">
        <v>1</v>
      </c>
      <c r="E11">
        <v>2</v>
      </c>
      <c r="F11">
        <v>14.78</v>
      </c>
      <c r="G11">
        <v>3.23</v>
      </c>
      <c r="H11" s="25">
        <f t="shared" si="0"/>
        <v>2.4776069349382186</v>
      </c>
    </row>
    <row r="12" spans="1:12" x14ac:dyDescent="0.35">
      <c r="A12">
        <v>1</v>
      </c>
      <c r="B12">
        <v>1</v>
      </c>
      <c r="C12">
        <v>4</v>
      </c>
      <c r="D12">
        <v>1</v>
      </c>
      <c r="E12">
        <v>2</v>
      </c>
      <c r="F12">
        <v>10.27</v>
      </c>
      <c r="G12">
        <v>1.71</v>
      </c>
      <c r="H12" s="25">
        <f t="shared" si="0"/>
        <v>2.052478466018651</v>
      </c>
    </row>
    <row r="13" spans="1:12" x14ac:dyDescent="0.35">
      <c r="A13">
        <v>0</v>
      </c>
      <c r="B13">
        <v>1</v>
      </c>
      <c r="C13">
        <v>4</v>
      </c>
      <c r="D13">
        <v>1</v>
      </c>
      <c r="E13">
        <v>4</v>
      </c>
      <c r="F13">
        <v>35.26</v>
      </c>
      <c r="G13">
        <v>5</v>
      </c>
      <c r="H13" s="25">
        <f t="shared" si="0"/>
        <v>4.7946850518790356</v>
      </c>
    </row>
    <row r="14" spans="1:12" x14ac:dyDescent="0.35">
      <c r="A14">
        <v>1</v>
      </c>
      <c r="B14">
        <v>1</v>
      </c>
      <c r="C14">
        <v>4</v>
      </c>
      <c r="D14">
        <v>1</v>
      </c>
      <c r="E14">
        <v>2</v>
      </c>
      <c r="F14">
        <v>15.42</v>
      </c>
      <c r="G14">
        <v>1.57</v>
      </c>
      <c r="H14" s="25">
        <f t="shared" si="0"/>
        <v>2.5379355868469817</v>
      </c>
    </row>
    <row r="15" spans="1:12" x14ac:dyDescent="0.35">
      <c r="A15">
        <v>1</v>
      </c>
      <c r="B15">
        <v>1</v>
      </c>
      <c r="C15">
        <v>4</v>
      </c>
      <c r="D15">
        <v>1</v>
      </c>
      <c r="E15">
        <v>4</v>
      </c>
      <c r="F15">
        <v>18.43</v>
      </c>
      <c r="G15">
        <v>3</v>
      </c>
      <c r="H15" s="25">
        <f t="shared" si="0"/>
        <v>3.1715975189494015</v>
      </c>
    </row>
    <row r="16" spans="1:12" x14ac:dyDescent="0.35">
      <c r="A16">
        <v>0</v>
      </c>
      <c r="B16">
        <v>1</v>
      </c>
      <c r="C16">
        <v>4</v>
      </c>
      <c r="D16">
        <v>1</v>
      </c>
      <c r="E16">
        <v>2</v>
      </c>
      <c r="F16">
        <v>14.83</v>
      </c>
      <c r="G16">
        <v>3.02</v>
      </c>
      <c r="H16" s="25">
        <f t="shared" si="0"/>
        <v>2.5189526256349621</v>
      </c>
    </row>
    <row r="17" spans="1:8" x14ac:dyDescent="0.35">
      <c r="A17">
        <v>1</v>
      </c>
      <c r="B17">
        <v>1</v>
      </c>
      <c r="C17">
        <v>4</v>
      </c>
      <c r="D17">
        <v>1</v>
      </c>
      <c r="E17">
        <v>2</v>
      </c>
      <c r="F17">
        <v>21.58</v>
      </c>
      <c r="G17">
        <v>3.92</v>
      </c>
      <c r="H17" s="25">
        <f t="shared" si="0"/>
        <v>3.11859886146883</v>
      </c>
    </row>
    <row r="18" spans="1:8" x14ac:dyDescent="0.35">
      <c r="A18">
        <v>0</v>
      </c>
      <c r="B18">
        <v>1</v>
      </c>
      <c r="C18">
        <v>4</v>
      </c>
      <c r="D18">
        <v>1</v>
      </c>
      <c r="E18">
        <v>3</v>
      </c>
      <c r="F18">
        <v>10.33</v>
      </c>
      <c r="G18">
        <v>1.67</v>
      </c>
      <c r="H18" s="25">
        <f t="shared" si="0"/>
        <v>2.2697311624484771</v>
      </c>
    </row>
    <row r="19" spans="1:8" x14ac:dyDescent="0.35">
      <c r="A19">
        <v>1</v>
      </c>
      <c r="B19">
        <v>1</v>
      </c>
      <c r="C19">
        <v>4</v>
      </c>
      <c r="D19">
        <v>1</v>
      </c>
      <c r="E19">
        <v>3</v>
      </c>
      <c r="F19">
        <v>16.29</v>
      </c>
      <c r="G19">
        <v>3.71</v>
      </c>
      <c r="H19" s="25">
        <f t="shared" si="0"/>
        <v>2.7949092185824655</v>
      </c>
    </row>
    <row r="20" spans="1:8" x14ac:dyDescent="0.35">
      <c r="A20">
        <v>0</v>
      </c>
      <c r="B20">
        <v>1</v>
      </c>
      <c r="C20">
        <v>4</v>
      </c>
      <c r="D20">
        <v>1</v>
      </c>
      <c r="E20">
        <v>3</v>
      </c>
      <c r="F20">
        <v>16.97</v>
      </c>
      <c r="G20">
        <v>3.5</v>
      </c>
      <c r="H20" s="25">
        <f t="shared" si="0"/>
        <v>2.8956409260018976</v>
      </c>
    </row>
    <row r="21" spans="1:8" x14ac:dyDescent="0.35">
      <c r="A21">
        <v>1</v>
      </c>
      <c r="B21">
        <v>1</v>
      </c>
      <c r="C21">
        <v>3</v>
      </c>
      <c r="D21">
        <v>1</v>
      </c>
      <c r="E21">
        <v>3</v>
      </c>
      <c r="F21">
        <v>20.65</v>
      </c>
      <c r="G21">
        <v>3.35</v>
      </c>
      <c r="H21" s="25">
        <f t="shared" si="0"/>
        <v>3.1528928547279804</v>
      </c>
    </row>
    <row r="22" spans="1:8" x14ac:dyDescent="0.35">
      <c r="A22">
        <v>1</v>
      </c>
      <c r="B22">
        <v>1</v>
      </c>
      <c r="C22">
        <v>3</v>
      </c>
      <c r="D22">
        <v>1</v>
      </c>
      <c r="E22">
        <v>2</v>
      </c>
      <c r="F22">
        <v>17.920000000000002</v>
      </c>
      <c r="G22">
        <v>4.08</v>
      </c>
      <c r="H22" s="25">
        <f t="shared" si="0"/>
        <v>2.7205890783826536</v>
      </c>
    </row>
    <row r="23" spans="1:8" x14ac:dyDescent="0.35">
      <c r="A23">
        <v>0</v>
      </c>
      <c r="B23">
        <v>1</v>
      </c>
      <c r="C23">
        <v>3</v>
      </c>
      <c r="D23">
        <v>1</v>
      </c>
      <c r="E23">
        <v>2</v>
      </c>
      <c r="F23">
        <v>20.29</v>
      </c>
      <c r="G23">
        <v>2.75</v>
      </c>
      <c r="H23" s="25">
        <f t="shared" si="0"/>
        <v>2.9806261322486645</v>
      </c>
    </row>
    <row r="24" spans="1:8" x14ac:dyDescent="0.35">
      <c r="A24">
        <v>0</v>
      </c>
      <c r="B24">
        <v>1</v>
      </c>
      <c r="C24">
        <v>3</v>
      </c>
      <c r="D24">
        <v>1</v>
      </c>
      <c r="E24">
        <v>2</v>
      </c>
      <c r="F24">
        <v>15.77</v>
      </c>
      <c r="G24">
        <v>2.23</v>
      </c>
      <c r="H24" s="25">
        <f t="shared" si="0"/>
        <v>2.5545550281430227</v>
      </c>
    </row>
    <row r="25" spans="1:8" x14ac:dyDescent="0.35">
      <c r="A25">
        <v>1</v>
      </c>
      <c r="B25">
        <v>1</v>
      </c>
      <c r="C25">
        <v>3</v>
      </c>
      <c r="D25">
        <v>1</v>
      </c>
      <c r="E25">
        <v>4</v>
      </c>
      <c r="F25">
        <v>39.42</v>
      </c>
      <c r="G25">
        <v>7.58</v>
      </c>
      <c r="H25" s="25">
        <f t="shared" si="0"/>
        <v>5.0971834695366915</v>
      </c>
    </row>
    <row r="26" spans="1:8" x14ac:dyDescent="0.35">
      <c r="A26">
        <v>1</v>
      </c>
      <c r="B26">
        <v>1</v>
      </c>
      <c r="C26">
        <v>3</v>
      </c>
      <c r="D26">
        <v>1</v>
      </c>
      <c r="E26">
        <v>2</v>
      </c>
      <c r="F26">
        <v>19.82</v>
      </c>
      <c r="G26">
        <v>3.18</v>
      </c>
      <c r="H26" s="25">
        <f t="shared" si="0"/>
        <v>2.8996897637367951</v>
      </c>
    </row>
    <row r="27" spans="1:8" x14ac:dyDescent="0.35">
      <c r="A27">
        <v>1</v>
      </c>
      <c r="B27">
        <v>1</v>
      </c>
      <c r="C27">
        <v>3</v>
      </c>
      <c r="D27">
        <v>1</v>
      </c>
      <c r="E27">
        <v>4</v>
      </c>
      <c r="F27">
        <v>17.809999999999999</v>
      </c>
      <c r="G27">
        <v>2.34</v>
      </c>
      <c r="H27" s="25">
        <f t="shared" si="0"/>
        <v>3.0601488324298507</v>
      </c>
    </row>
    <row r="28" spans="1:8" x14ac:dyDescent="0.35">
      <c r="A28">
        <v>1</v>
      </c>
      <c r="B28">
        <v>1</v>
      </c>
      <c r="C28">
        <v>3</v>
      </c>
      <c r="D28">
        <v>1</v>
      </c>
      <c r="E28">
        <v>2</v>
      </c>
      <c r="F28">
        <v>13.37</v>
      </c>
      <c r="G28">
        <v>2</v>
      </c>
      <c r="H28" s="25">
        <f t="shared" si="0"/>
        <v>2.291690068718788</v>
      </c>
    </row>
    <row r="29" spans="1:8" x14ac:dyDescent="0.35">
      <c r="A29">
        <v>1</v>
      </c>
      <c r="B29">
        <v>1</v>
      </c>
      <c r="C29">
        <v>3</v>
      </c>
      <c r="D29">
        <v>1</v>
      </c>
      <c r="E29">
        <v>2</v>
      </c>
      <c r="F29">
        <v>12.69</v>
      </c>
      <c r="G29">
        <v>2</v>
      </c>
      <c r="H29" s="25">
        <f t="shared" si="0"/>
        <v>2.2275908760657273</v>
      </c>
    </row>
    <row r="30" spans="1:8" x14ac:dyDescent="0.35">
      <c r="A30">
        <v>1</v>
      </c>
      <c r="B30">
        <v>1</v>
      </c>
      <c r="C30">
        <v>3</v>
      </c>
      <c r="D30">
        <v>1</v>
      </c>
      <c r="E30">
        <v>2</v>
      </c>
      <c r="F30">
        <v>21.7</v>
      </c>
      <c r="G30">
        <v>4.3</v>
      </c>
      <c r="H30" s="25">
        <f t="shared" si="0"/>
        <v>3.0769051787187873</v>
      </c>
    </row>
    <row r="31" spans="1:8" x14ac:dyDescent="0.35">
      <c r="A31">
        <v>0</v>
      </c>
      <c r="B31">
        <v>1</v>
      </c>
      <c r="C31">
        <v>3</v>
      </c>
      <c r="D31">
        <v>1</v>
      </c>
      <c r="E31">
        <v>2</v>
      </c>
      <c r="F31">
        <v>19.649999999999999</v>
      </c>
      <c r="G31">
        <v>3</v>
      </c>
      <c r="H31" s="25">
        <f t="shared" si="0"/>
        <v>2.9202974803399009</v>
      </c>
    </row>
    <row r="32" spans="1:8" x14ac:dyDescent="0.35">
      <c r="A32">
        <v>1</v>
      </c>
      <c r="B32">
        <v>1</v>
      </c>
      <c r="C32">
        <v>3</v>
      </c>
      <c r="D32">
        <v>1</v>
      </c>
      <c r="E32">
        <v>2</v>
      </c>
      <c r="F32">
        <v>9.5500000000000007</v>
      </c>
      <c r="G32">
        <v>1.45</v>
      </c>
      <c r="H32" s="25">
        <f t="shared" si="0"/>
        <v>1.9316034276383567</v>
      </c>
    </row>
    <row r="33" spans="1:8" x14ac:dyDescent="0.35">
      <c r="A33">
        <v>1</v>
      </c>
      <c r="B33">
        <v>1</v>
      </c>
      <c r="C33">
        <v>3</v>
      </c>
      <c r="D33">
        <v>1</v>
      </c>
      <c r="E33">
        <v>4</v>
      </c>
      <c r="F33">
        <v>18.350000000000001</v>
      </c>
      <c r="G33">
        <v>2.5</v>
      </c>
      <c r="H33" s="25">
        <f t="shared" si="0"/>
        <v>3.1110511324778702</v>
      </c>
    </row>
    <row r="34" spans="1:8" x14ac:dyDescent="0.35">
      <c r="A34">
        <v>0</v>
      </c>
      <c r="B34">
        <v>1</v>
      </c>
      <c r="C34">
        <v>3</v>
      </c>
      <c r="D34">
        <v>1</v>
      </c>
      <c r="E34">
        <v>2</v>
      </c>
      <c r="F34">
        <v>15.06</v>
      </c>
      <c r="G34">
        <v>3</v>
      </c>
      <c r="H34" s="25">
        <f t="shared" si="0"/>
        <v>2.4876279299317381</v>
      </c>
    </row>
    <row r="35" spans="1:8" x14ac:dyDescent="0.35">
      <c r="A35">
        <v>0</v>
      </c>
      <c r="B35">
        <v>1</v>
      </c>
      <c r="C35">
        <v>3</v>
      </c>
      <c r="D35">
        <v>1</v>
      </c>
      <c r="E35">
        <v>4</v>
      </c>
      <c r="F35">
        <v>20.69</v>
      </c>
      <c r="G35">
        <v>2.4500000000000002</v>
      </c>
      <c r="H35" s="25">
        <f t="shared" si="0"/>
        <v>3.3682602807856581</v>
      </c>
    </row>
    <row r="36" spans="1:8" x14ac:dyDescent="0.35">
      <c r="A36">
        <v>1</v>
      </c>
      <c r="B36">
        <v>1</v>
      </c>
      <c r="C36">
        <v>3</v>
      </c>
      <c r="D36">
        <v>1</v>
      </c>
      <c r="E36">
        <v>2</v>
      </c>
      <c r="F36">
        <v>17.78</v>
      </c>
      <c r="G36">
        <v>3.27</v>
      </c>
      <c r="H36" s="25">
        <f t="shared" si="0"/>
        <v>2.7073921857776115</v>
      </c>
    </row>
    <row r="37" spans="1:8" x14ac:dyDescent="0.35">
      <c r="A37">
        <v>1</v>
      </c>
      <c r="B37">
        <v>1</v>
      </c>
      <c r="C37">
        <v>3</v>
      </c>
      <c r="D37">
        <v>1</v>
      </c>
      <c r="E37">
        <v>3</v>
      </c>
      <c r="F37">
        <v>24.06</v>
      </c>
      <c r="G37">
        <v>3.6</v>
      </c>
      <c r="H37" s="25">
        <f t="shared" si="0"/>
        <v>3.474331453179361</v>
      </c>
    </row>
    <row r="38" spans="1:8" x14ac:dyDescent="0.35">
      <c r="A38">
        <v>1</v>
      </c>
      <c r="B38">
        <v>1</v>
      </c>
      <c r="C38">
        <v>3</v>
      </c>
      <c r="D38">
        <v>1</v>
      </c>
      <c r="E38">
        <v>3</v>
      </c>
      <c r="F38">
        <v>16.309999999999999</v>
      </c>
      <c r="G38">
        <v>2</v>
      </c>
      <c r="H38" s="25">
        <f t="shared" si="0"/>
        <v>2.7437891839716784</v>
      </c>
    </row>
    <row r="39" spans="1:8" x14ac:dyDescent="0.35">
      <c r="A39">
        <v>0</v>
      </c>
      <c r="B39">
        <v>1</v>
      </c>
      <c r="C39">
        <v>3</v>
      </c>
      <c r="D39">
        <v>1</v>
      </c>
      <c r="E39">
        <v>3</v>
      </c>
      <c r="F39">
        <v>16.93</v>
      </c>
      <c r="G39">
        <v>3.07</v>
      </c>
      <c r="H39" s="25">
        <f t="shared" si="0"/>
        <v>2.8388650802746644</v>
      </c>
    </row>
    <row r="40" spans="1:8" x14ac:dyDescent="0.35">
      <c r="A40">
        <v>1</v>
      </c>
      <c r="B40">
        <v>1</v>
      </c>
      <c r="C40">
        <v>3</v>
      </c>
      <c r="D40">
        <v>1</v>
      </c>
      <c r="E40">
        <v>3</v>
      </c>
      <c r="F40">
        <v>18.690000000000001</v>
      </c>
      <c r="G40">
        <v>2.31</v>
      </c>
      <c r="H40" s="25">
        <f t="shared" si="0"/>
        <v>2.968136358257393</v>
      </c>
    </row>
    <row r="41" spans="1:8" x14ac:dyDescent="0.35">
      <c r="A41">
        <v>1</v>
      </c>
      <c r="B41">
        <v>1</v>
      </c>
      <c r="C41">
        <v>3</v>
      </c>
      <c r="D41">
        <v>1</v>
      </c>
      <c r="E41">
        <v>3</v>
      </c>
      <c r="F41">
        <v>31.27</v>
      </c>
      <c r="G41">
        <v>5</v>
      </c>
      <c r="H41" s="25">
        <f t="shared" si="0"/>
        <v>4.1539714223390245</v>
      </c>
    </row>
    <row r="42" spans="1:8" x14ac:dyDescent="0.35">
      <c r="A42">
        <v>1</v>
      </c>
      <c r="B42">
        <v>1</v>
      </c>
      <c r="C42">
        <v>3</v>
      </c>
      <c r="D42">
        <v>1</v>
      </c>
      <c r="E42">
        <v>3</v>
      </c>
      <c r="F42">
        <v>16.04</v>
      </c>
      <c r="G42">
        <v>2.2400000000000002</v>
      </c>
      <c r="H42" s="25">
        <f t="shared" si="0"/>
        <v>2.7183380339476688</v>
      </c>
    </row>
    <row r="43" spans="1:8" x14ac:dyDescent="0.35">
      <c r="A43">
        <v>1</v>
      </c>
      <c r="B43">
        <v>1</v>
      </c>
      <c r="C43">
        <v>4</v>
      </c>
      <c r="D43">
        <v>1</v>
      </c>
      <c r="E43">
        <v>2</v>
      </c>
      <c r="F43">
        <v>17.46</v>
      </c>
      <c r="G43">
        <v>2.54</v>
      </c>
      <c r="H43" s="25">
        <f t="shared" si="0"/>
        <v>2.7302331648061653</v>
      </c>
    </row>
    <row r="44" spans="1:8" x14ac:dyDescent="0.35">
      <c r="A44">
        <v>1</v>
      </c>
      <c r="B44">
        <v>1</v>
      </c>
      <c r="C44">
        <v>4</v>
      </c>
      <c r="D44">
        <v>1</v>
      </c>
      <c r="E44">
        <v>2</v>
      </c>
      <c r="F44">
        <v>13.94</v>
      </c>
      <c r="G44">
        <v>3.06</v>
      </c>
      <c r="H44" s="25">
        <f t="shared" si="0"/>
        <v>2.3984255793079665</v>
      </c>
    </row>
    <row r="45" spans="1:8" x14ac:dyDescent="0.35">
      <c r="A45">
        <v>1</v>
      </c>
      <c r="B45">
        <v>1</v>
      </c>
      <c r="C45">
        <v>4</v>
      </c>
      <c r="D45">
        <v>1</v>
      </c>
      <c r="E45">
        <v>2</v>
      </c>
      <c r="F45">
        <v>9.68</v>
      </c>
      <c r="G45">
        <v>1.32</v>
      </c>
      <c r="H45" s="25">
        <f t="shared" si="0"/>
        <v>1.9968629900402599</v>
      </c>
    </row>
    <row r="46" spans="1:8" x14ac:dyDescent="0.35">
      <c r="A46">
        <v>1</v>
      </c>
      <c r="B46">
        <v>1</v>
      </c>
      <c r="C46">
        <v>4</v>
      </c>
      <c r="D46">
        <v>1</v>
      </c>
      <c r="E46">
        <v>4</v>
      </c>
      <c r="F46">
        <v>30.4</v>
      </c>
      <c r="G46">
        <v>5.6</v>
      </c>
      <c r="H46" s="25">
        <f t="shared" si="0"/>
        <v>4.2999318366804928</v>
      </c>
    </row>
    <row r="47" spans="1:8" x14ac:dyDescent="0.35">
      <c r="A47">
        <v>1</v>
      </c>
      <c r="B47">
        <v>1</v>
      </c>
      <c r="C47">
        <v>4</v>
      </c>
      <c r="D47">
        <v>1</v>
      </c>
      <c r="E47">
        <v>2</v>
      </c>
      <c r="F47">
        <v>18.29</v>
      </c>
      <c r="G47">
        <v>3</v>
      </c>
      <c r="H47" s="25">
        <f t="shared" si="0"/>
        <v>2.8084718852503432</v>
      </c>
    </row>
    <row r="48" spans="1:8" x14ac:dyDescent="0.35">
      <c r="A48">
        <v>1</v>
      </c>
      <c r="B48">
        <v>1</v>
      </c>
      <c r="C48">
        <v>4</v>
      </c>
      <c r="D48">
        <v>1</v>
      </c>
      <c r="E48">
        <v>2</v>
      </c>
      <c r="F48">
        <v>22.23</v>
      </c>
      <c r="G48">
        <v>5</v>
      </c>
      <c r="H48" s="25">
        <f t="shared" si="0"/>
        <v>3.1798701485636682</v>
      </c>
    </row>
    <row r="49" spans="1:8" x14ac:dyDescent="0.35">
      <c r="A49">
        <v>1</v>
      </c>
      <c r="B49">
        <v>1</v>
      </c>
      <c r="C49">
        <v>4</v>
      </c>
      <c r="D49">
        <v>1</v>
      </c>
      <c r="E49">
        <v>4</v>
      </c>
      <c r="F49">
        <v>32.4</v>
      </c>
      <c r="G49">
        <v>6</v>
      </c>
      <c r="H49" s="25">
        <f t="shared" si="0"/>
        <v>4.4884588738953788</v>
      </c>
    </row>
    <row r="50" spans="1:8" x14ac:dyDescent="0.35">
      <c r="A50">
        <v>1</v>
      </c>
      <c r="B50">
        <v>1</v>
      </c>
      <c r="C50">
        <v>4</v>
      </c>
      <c r="D50">
        <v>1</v>
      </c>
      <c r="E50">
        <v>3</v>
      </c>
      <c r="F50">
        <v>28.55</v>
      </c>
      <c r="G50">
        <v>2.0499999999999998</v>
      </c>
      <c r="H50" s="25">
        <f t="shared" si="0"/>
        <v>3.9505799567097153</v>
      </c>
    </row>
    <row r="51" spans="1:8" x14ac:dyDescent="0.35">
      <c r="A51">
        <v>1</v>
      </c>
      <c r="B51">
        <v>1</v>
      </c>
      <c r="C51">
        <v>4</v>
      </c>
      <c r="D51">
        <v>1</v>
      </c>
      <c r="E51">
        <v>2</v>
      </c>
      <c r="F51">
        <v>18.04</v>
      </c>
      <c r="G51">
        <v>3</v>
      </c>
      <c r="H51" s="25">
        <f t="shared" si="0"/>
        <v>2.784906005598482</v>
      </c>
    </row>
    <row r="52" spans="1:8" x14ac:dyDescent="0.35">
      <c r="A52">
        <v>1</v>
      </c>
      <c r="B52">
        <v>1</v>
      </c>
      <c r="C52">
        <v>4</v>
      </c>
      <c r="D52">
        <v>1</v>
      </c>
      <c r="E52">
        <v>2</v>
      </c>
      <c r="F52">
        <v>12.54</v>
      </c>
      <c r="G52">
        <v>2.5</v>
      </c>
      <c r="H52" s="25">
        <f t="shared" si="0"/>
        <v>2.2664566532575465</v>
      </c>
    </row>
    <row r="53" spans="1:8" x14ac:dyDescent="0.35">
      <c r="A53">
        <v>0</v>
      </c>
      <c r="B53">
        <v>1</v>
      </c>
      <c r="C53">
        <v>4</v>
      </c>
      <c r="D53">
        <v>1</v>
      </c>
      <c r="E53">
        <v>2</v>
      </c>
      <c r="F53">
        <v>10.29</v>
      </c>
      <c r="G53">
        <v>2.6</v>
      </c>
      <c r="H53" s="25">
        <f t="shared" si="0"/>
        <v>2.0909962511571711</v>
      </c>
    </row>
    <row r="54" spans="1:8" x14ac:dyDescent="0.35">
      <c r="A54">
        <v>0</v>
      </c>
      <c r="B54">
        <v>1</v>
      </c>
      <c r="C54">
        <v>4</v>
      </c>
      <c r="D54">
        <v>1</v>
      </c>
      <c r="E54">
        <v>4</v>
      </c>
      <c r="F54">
        <v>34.81</v>
      </c>
      <c r="G54">
        <v>5.2</v>
      </c>
      <c r="H54" s="25">
        <f t="shared" si="0"/>
        <v>4.7522664685056872</v>
      </c>
    </row>
    <row r="55" spans="1:8" x14ac:dyDescent="0.35">
      <c r="A55">
        <v>1</v>
      </c>
      <c r="B55">
        <v>1</v>
      </c>
      <c r="C55">
        <v>4</v>
      </c>
      <c r="D55">
        <v>1</v>
      </c>
      <c r="E55">
        <v>2</v>
      </c>
      <c r="F55">
        <v>9.94</v>
      </c>
      <c r="G55">
        <v>1.56</v>
      </c>
      <c r="H55" s="25">
        <f t="shared" si="0"/>
        <v>2.0213715048781951</v>
      </c>
    </row>
    <row r="56" spans="1:8" x14ac:dyDescent="0.35">
      <c r="A56">
        <v>1</v>
      </c>
      <c r="B56">
        <v>1</v>
      </c>
      <c r="C56">
        <v>4</v>
      </c>
      <c r="D56">
        <v>1</v>
      </c>
      <c r="E56">
        <v>4</v>
      </c>
      <c r="F56">
        <v>25.56</v>
      </c>
      <c r="G56">
        <v>4.34</v>
      </c>
      <c r="H56" s="25">
        <f t="shared" si="0"/>
        <v>3.8436964066204689</v>
      </c>
    </row>
    <row r="57" spans="1:8" x14ac:dyDescent="0.35">
      <c r="A57">
        <v>1</v>
      </c>
      <c r="B57">
        <v>1</v>
      </c>
      <c r="C57">
        <v>4</v>
      </c>
      <c r="D57">
        <v>1</v>
      </c>
      <c r="E57">
        <v>2</v>
      </c>
      <c r="F57">
        <v>19.489999999999998</v>
      </c>
      <c r="G57">
        <v>3.51</v>
      </c>
      <c r="H57" s="25">
        <f t="shared" si="0"/>
        <v>2.9215881075792742</v>
      </c>
    </row>
    <row r="58" spans="1:8" x14ac:dyDescent="0.35">
      <c r="A58">
        <v>1</v>
      </c>
      <c r="B58">
        <v>0</v>
      </c>
      <c r="C58">
        <v>3</v>
      </c>
      <c r="D58">
        <v>1</v>
      </c>
      <c r="E58">
        <v>4</v>
      </c>
      <c r="F58">
        <v>38.01</v>
      </c>
      <c r="G58">
        <v>3</v>
      </c>
      <c r="H58" s="25">
        <f t="shared" si="0"/>
        <v>4.8914275775102638</v>
      </c>
    </row>
    <row r="59" spans="1:8" x14ac:dyDescent="0.35">
      <c r="A59">
        <v>0</v>
      </c>
      <c r="B59">
        <v>1</v>
      </c>
      <c r="C59">
        <v>3</v>
      </c>
      <c r="D59">
        <v>1</v>
      </c>
      <c r="E59">
        <v>2</v>
      </c>
      <c r="F59">
        <v>26.41</v>
      </c>
      <c r="G59">
        <v>1.5</v>
      </c>
      <c r="H59" s="25">
        <f t="shared" si="0"/>
        <v>3.5575188661262147</v>
      </c>
    </row>
    <row r="60" spans="1:8" x14ac:dyDescent="0.35">
      <c r="A60">
        <v>1</v>
      </c>
      <c r="B60">
        <v>0</v>
      </c>
      <c r="C60">
        <v>3</v>
      </c>
      <c r="D60">
        <v>1</v>
      </c>
      <c r="E60">
        <v>2</v>
      </c>
      <c r="F60">
        <v>11.24</v>
      </c>
      <c r="G60">
        <v>1.76</v>
      </c>
      <c r="H60" s="25">
        <f t="shared" si="0"/>
        <v>2.0180644432950019</v>
      </c>
    </row>
    <row r="61" spans="1:8" x14ac:dyDescent="0.35">
      <c r="A61">
        <v>1</v>
      </c>
      <c r="B61">
        <v>1</v>
      </c>
      <c r="C61">
        <v>3</v>
      </c>
      <c r="D61">
        <v>1</v>
      </c>
      <c r="E61">
        <v>4</v>
      </c>
      <c r="F61">
        <v>48.27</v>
      </c>
      <c r="G61">
        <v>6.73</v>
      </c>
      <c r="H61" s="25">
        <f t="shared" si="0"/>
        <v>5.9314156092125607</v>
      </c>
    </row>
    <row r="62" spans="1:8" x14ac:dyDescent="0.35">
      <c r="A62">
        <v>1</v>
      </c>
      <c r="B62">
        <v>0</v>
      </c>
      <c r="C62">
        <v>3</v>
      </c>
      <c r="D62">
        <v>1</v>
      </c>
      <c r="E62">
        <v>2</v>
      </c>
      <c r="F62">
        <v>20.29</v>
      </c>
      <c r="G62">
        <v>3.21</v>
      </c>
      <c r="H62" s="25">
        <f t="shared" si="0"/>
        <v>2.8711492866923596</v>
      </c>
    </row>
    <row r="63" spans="1:8" x14ac:dyDescent="0.35">
      <c r="A63">
        <v>1</v>
      </c>
      <c r="B63">
        <v>0</v>
      </c>
      <c r="C63">
        <v>3</v>
      </c>
      <c r="D63">
        <v>1</v>
      </c>
      <c r="E63">
        <v>2</v>
      </c>
      <c r="F63">
        <v>13.81</v>
      </c>
      <c r="G63">
        <v>2</v>
      </c>
      <c r="H63" s="25">
        <f t="shared" si="0"/>
        <v>2.2603216861161304</v>
      </c>
    </row>
    <row r="64" spans="1:8" x14ac:dyDescent="0.35">
      <c r="A64">
        <v>1</v>
      </c>
      <c r="B64">
        <v>0</v>
      </c>
      <c r="C64">
        <v>3</v>
      </c>
      <c r="D64">
        <v>1</v>
      </c>
      <c r="E64">
        <v>2</v>
      </c>
      <c r="F64">
        <v>11.02</v>
      </c>
      <c r="G64">
        <v>1.98</v>
      </c>
      <c r="H64" s="25">
        <f t="shared" si="0"/>
        <v>1.9973264692013644</v>
      </c>
    </row>
    <row r="65" spans="1:8" x14ac:dyDescent="0.35">
      <c r="A65">
        <v>1</v>
      </c>
      <c r="B65">
        <v>0</v>
      </c>
      <c r="C65">
        <v>3</v>
      </c>
      <c r="D65">
        <v>1</v>
      </c>
      <c r="E65">
        <v>4</v>
      </c>
      <c r="F65">
        <v>18.29</v>
      </c>
      <c r="G65">
        <v>3.76</v>
      </c>
      <c r="H65" s="25">
        <f t="shared" si="0"/>
        <v>3.0325509905714902</v>
      </c>
    </row>
    <row r="66" spans="1:8" x14ac:dyDescent="0.35">
      <c r="A66">
        <v>1</v>
      </c>
      <c r="B66">
        <v>1</v>
      </c>
      <c r="C66">
        <v>3</v>
      </c>
      <c r="D66">
        <v>1</v>
      </c>
      <c r="E66">
        <v>3</v>
      </c>
      <c r="F66">
        <v>17.59</v>
      </c>
      <c r="G66">
        <v>2.64</v>
      </c>
      <c r="H66" s="25">
        <f t="shared" si="0"/>
        <v>2.8644464877892055</v>
      </c>
    </row>
    <row r="67" spans="1:8" x14ac:dyDescent="0.35">
      <c r="A67">
        <v>1</v>
      </c>
      <c r="B67">
        <v>1</v>
      </c>
      <c r="C67">
        <v>3</v>
      </c>
      <c r="D67">
        <v>1</v>
      </c>
      <c r="E67">
        <v>3</v>
      </c>
      <c r="F67">
        <v>20.079999999999998</v>
      </c>
      <c r="G67">
        <v>3.15</v>
      </c>
      <c r="H67" s="25">
        <f t="shared" ref="H67:H130" si="1">$L$4+$L$5*A67+$L$6*B67+$L$7*C67+$L$8*D67+$L$9*E67+$L$10*F67</f>
        <v>3.0991626491217383</v>
      </c>
    </row>
    <row r="68" spans="1:8" x14ac:dyDescent="0.35">
      <c r="A68">
        <v>0</v>
      </c>
      <c r="B68">
        <v>1</v>
      </c>
      <c r="C68">
        <v>3</v>
      </c>
      <c r="D68">
        <v>1</v>
      </c>
      <c r="E68">
        <v>2</v>
      </c>
      <c r="F68">
        <v>16.45</v>
      </c>
      <c r="G68">
        <v>2.4700000000000002</v>
      </c>
      <c r="H68" s="25">
        <f t="shared" si="1"/>
        <v>2.6186542207960839</v>
      </c>
    </row>
    <row r="69" spans="1:8" x14ac:dyDescent="0.35">
      <c r="A69">
        <v>0</v>
      </c>
      <c r="B69">
        <v>0</v>
      </c>
      <c r="C69">
        <v>3</v>
      </c>
      <c r="D69">
        <v>1</v>
      </c>
      <c r="E69">
        <v>1</v>
      </c>
      <c r="F69">
        <v>3.07</v>
      </c>
      <c r="G69">
        <v>1</v>
      </c>
      <c r="H69" s="25">
        <f t="shared" si="1"/>
        <v>1.1095996404915567</v>
      </c>
    </row>
    <row r="70" spans="1:8" x14ac:dyDescent="0.35">
      <c r="A70">
        <v>1</v>
      </c>
      <c r="B70">
        <v>1</v>
      </c>
      <c r="C70">
        <v>3</v>
      </c>
      <c r="D70">
        <v>1</v>
      </c>
      <c r="E70">
        <v>2</v>
      </c>
      <c r="F70">
        <v>20.23</v>
      </c>
      <c r="G70">
        <v>2.0099999999999998</v>
      </c>
      <c r="H70" s="25">
        <f t="shared" si="1"/>
        <v>2.9383378063658467</v>
      </c>
    </row>
    <row r="71" spans="1:8" x14ac:dyDescent="0.35">
      <c r="A71">
        <v>1</v>
      </c>
      <c r="B71">
        <v>0</v>
      </c>
      <c r="C71">
        <v>3</v>
      </c>
      <c r="D71">
        <v>1</v>
      </c>
      <c r="E71">
        <v>2</v>
      </c>
      <c r="F71">
        <v>15.01</v>
      </c>
      <c r="G71">
        <v>2.09</v>
      </c>
      <c r="H71" s="25">
        <f t="shared" si="1"/>
        <v>2.3734379084450614</v>
      </c>
    </row>
    <row r="72" spans="1:8" x14ac:dyDescent="0.35">
      <c r="A72">
        <v>1</v>
      </c>
      <c r="B72">
        <v>1</v>
      </c>
      <c r="C72">
        <v>3</v>
      </c>
      <c r="D72">
        <v>1</v>
      </c>
      <c r="E72">
        <v>2</v>
      </c>
      <c r="F72">
        <v>12.02</v>
      </c>
      <c r="G72">
        <v>1.97</v>
      </c>
      <c r="H72" s="25">
        <f t="shared" si="1"/>
        <v>2.1644343185987402</v>
      </c>
    </row>
    <row r="73" spans="1:8" x14ac:dyDescent="0.35">
      <c r="A73">
        <v>0</v>
      </c>
      <c r="B73">
        <v>1</v>
      </c>
      <c r="C73">
        <v>3</v>
      </c>
      <c r="D73">
        <v>1</v>
      </c>
      <c r="E73">
        <v>3</v>
      </c>
      <c r="F73">
        <v>17.07</v>
      </c>
      <c r="G73">
        <v>3</v>
      </c>
      <c r="H73" s="25">
        <f t="shared" si="1"/>
        <v>2.8520619728797065</v>
      </c>
    </row>
    <row r="74" spans="1:8" x14ac:dyDescent="0.35">
      <c r="A74">
        <v>0</v>
      </c>
      <c r="B74">
        <v>0</v>
      </c>
      <c r="C74">
        <v>3</v>
      </c>
      <c r="D74">
        <v>1</v>
      </c>
      <c r="E74">
        <v>2</v>
      </c>
      <c r="F74">
        <v>26.86</v>
      </c>
      <c r="G74">
        <v>3.14</v>
      </c>
      <c r="H74" s="25">
        <f t="shared" si="1"/>
        <v>3.5270931187096308</v>
      </c>
    </row>
    <row r="75" spans="1:8" x14ac:dyDescent="0.35">
      <c r="A75">
        <v>0</v>
      </c>
      <c r="B75">
        <v>0</v>
      </c>
      <c r="C75">
        <v>3</v>
      </c>
      <c r="D75">
        <v>1</v>
      </c>
      <c r="E75">
        <v>2</v>
      </c>
      <c r="F75">
        <v>25.28</v>
      </c>
      <c r="G75">
        <v>5</v>
      </c>
      <c r="H75" s="25">
        <f t="shared" si="1"/>
        <v>3.3781567593098711</v>
      </c>
    </row>
    <row r="76" spans="1:8" x14ac:dyDescent="0.35">
      <c r="A76">
        <v>0</v>
      </c>
      <c r="B76">
        <v>1</v>
      </c>
      <c r="C76">
        <v>3</v>
      </c>
      <c r="D76">
        <v>1</v>
      </c>
      <c r="E76">
        <v>2</v>
      </c>
      <c r="F76">
        <v>14.73</v>
      </c>
      <c r="G76">
        <v>2.2000000000000002</v>
      </c>
      <c r="H76" s="25">
        <f t="shared" si="1"/>
        <v>2.4565209687912821</v>
      </c>
    </row>
    <row r="77" spans="1:8" x14ac:dyDescent="0.35">
      <c r="A77">
        <v>1</v>
      </c>
      <c r="B77">
        <v>1</v>
      </c>
      <c r="C77">
        <v>3</v>
      </c>
      <c r="D77">
        <v>1</v>
      </c>
      <c r="E77">
        <v>2</v>
      </c>
      <c r="F77">
        <v>10.51</v>
      </c>
      <c r="G77">
        <v>1.25</v>
      </c>
      <c r="H77" s="25">
        <f t="shared" si="1"/>
        <v>2.0220964055015016</v>
      </c>
    </row>
    <row r="78" spans="1:8" x14ac:dyDescent="0.35">
      <c r="A78">
        <v>1</v>
      </c>
      <c r="B78">
        <v>0</v>
      </c>
      <c r="C78">
        <v>3</v>
      </c>
      <c r="D78">
        <v>1</v>
      </c>
      <c r="E78">
        <v>2</v>
      </c>
      <c r="F78">
        <v>17.920000000000002</v>
      </c>
      <c r="G78">
        <v>3.08</v>
      </c>
      <c r="H78" s="25">
        <f t="shared" si="1"/>
        <v>2.6477447475927205</v>
      </c>
    </row>
    <row r="79" spans="1:8" x14ac:dyDescent="0.35">
      <c r="A79">
        <v>1</v>
      </c>
      <c r="B79">
        <v>1</v>
      </c>
      <c r="C79">
        <v>1</v>
      </c>
      <c r="D79">
        <v>0</v>
      </c>
      <c r="E79">
        <v>4</v>
      </c>
      <c r="F79">
        <v>27.2</v>
      </c>
      <c r="G79">
        <v>4</v>
      </c>
      <c r="H79" s="25">
        <f t="shared" si="1"/>
        <v>3.9552789239088582</v>
      </c>
    </row>
    <row r="80" spans="1:8" x14ac:dyDescent="0.35">
      <c r="A80">
        <v>1</v>
      </c>
      <c r="B80">
        <v>1</v>
      </c>
      <c r="C80">
        <v>1</v>
      </c>
      <c r="D80">
        <v>0</v>
      </c>
      <c r="E80">
        <v>2</v>
      </c>
      <c r="F80">
        <v>22.76</v>
      </c>
      <c r="G80">
        <v>3</v>
      </c>
      <c r="H80" s="25">
        <f t="shared" si="1"/>
        <v>3.1868201601977959</v>
      </c>
    </row>
    <row r="81" spans="1:8" x14ac:dyDescent="0.35">
      <c r="A81">
        <v>1</v>
      </c>
      <c r="B81">
        <v>1</v>
      </c>
      <c r="C81">
        <v>1</v>
      </c>
      <c r="D81">
        <v>0</v>
      </c>
      <c r="E81">
        <v>2</v>
      </c>
      <c r="F81">
        <v>17.29</v>
      </c>
      <c r="G81">
        <v>2.71</v>
      </c>
      <c r="H81" s="25">
        <f t="shared" si="1"/>
        <v>2.671198713415083</v>
      </c>
    </row>
    <row r="82" spans="1:8" x14ac:dyDescent="0.35">
      <c r="A82">
        <v>1</v>
      </c>
      <c r="B82">
        <v>0</v>
      </c>
      <c r="C82">
        <v>1</v>
      </c>
      <c r="D82">
        <v>0</v>
      </c>
      <c r="E82">
        <v>2</v>
      </c>
      <c r="F82">
        <v>19.440000000000001</v>
      </c>
      <c r="G82">
        <v>3</v>
      </c>
      <c r="H82" s="25">
        <f t="shared" si="1"/>
        <v>2.8010209476311521</v>
      </c>
    </row>
    <row r="83" spans="1:8" x14ac:dyDescent="0.35">
      <c r="A83">
        <v>1</v>
      </c>
      <c r="B83">
        <v>1</v>
      </c>
      <c r="C83">
        <v>1</v>
      </c>
      <c r="D83">
        <v>0</v>
      </c>
      <c r="E83">
        <v>2</v>
      </c>
      <c r="F83">
        <v>16.66</v>
      </c>
      <c r="G83">
        <v>3.4</v>
      </c>
      <c r="H83" s="25">
        <f t="shared" si="1"/>
        <v>2.611812696692394</v>
      </c>
    </row>
    <row r="84" spans="1:8" x14ac:dyDescent="0.35">
      <c r="A84">
        <v>0</v>
      </c>
      <c r="B84">
        <v>1</v>
      </c>
      <c r="C84">
        <v>1</v>
      </c>
      <c r="D84">
        <v>0</v>
      </c>
      <c r="E84">
        <v>1</v>
      </c>
      <c r="F84">
        <v>10.07</v>
      </c>
      <c r="G84">
        <v>1.83</v>
      </c>
      <c r="H84" s="25">
        <f t="shared" si="1"/>
        <v>1.8522842532887087</v>
      </c>
    </row>
    <row r="85" spans="1:8" x14ac:dyDescent="0.35">
      <c r="A85">
        <v>1</v>
      </c>
      <c r="B85">
        <v>0</v>
      </c>
      <c r="C85">
        <v>1</v>
      </c>
      <c r="D85">
        <v>0</v>
      </c>
      <c r="E85">
        <v>2</v>
      </c>
      <c r="F85">
        <v>32.68</v>
      </c>
      <c r="G85">
        <v>5</v>
      </c>
      <c r="H85" s="25">
        <f t="shared" si="1"/>
        <v>4.049069933993696</v>
      </c>
    </row>
    <row r="86" spans="1:8" x14ac:dyDescent="0.35">
      <c r="A86">
        <v>1</v>
      </c>
      <c r="B86">
        <v>1</v>
      </c>
      <c r="C86">
        <v>1</v>
      </c>
      <c r="D86">
        <v>0</v>
      </c>
      <c r="E86">
        <v>2</v>
      </c>
      <c r="F86">
        <v>15.98</v>
      </c>
      <c r="G86">
        <v>2.0299999999999998</v>
      </c>
      <c r="H86" s="25">
        <f t="shared" si="1"/>
        <v>2.5477135040393328</v>
      </c>
    </row>
    <row r="87" spans="1:8" x14ac:dyDescent="0.35">
      <c r="A87">
        <v>0</v>
      </c>
      <c r="B87">
        <v>1</v>
      </c>
      <c r="C87">
        <v>1</v>
      </c>
      <c r="D87">
        <v>0</v>
      </c>
      <c r="E87">
        <v>4</v>
      </c>
      <c r="F87">
        <v>34.83</v>
      </c>
      <c r="G87">
        <v>5.17</v>
      </c>
      <c r="H87" s="25">
        <f t="shared" si="1"/>
        <v>4.7111420856500184</v>
      </c>
    </row>
    <row r="88" spans="1:8" x14ac:dyDescent="0.35">
      <c r="A88">
        <v>1</v>
      </c>
      <c r="B88">
        <v>1</v>
      </c>
      <c r="C88">
        <v>1</v>
      </c>
      <c r="D88">
        <v>0</v>
      </c>
      <c r="E88">
        <v>2</v>
      </c>
      <c r="F88">
        <v>13.03</v>
      </c>
      <c r="G88">
        <v>2</v>
      </c>
      <c r="H88" s="25">
        <f t="shared" si="1"/>
        <v>2.2696361241473761</v>
      </c>
    </row>
    <row r="89" spans="1:8" x14ac:dyDescent="0.35">
      <c r="A89">
        <v>1</v>
      </c>
      <c r="B89">
        <v>1</v>
      </c>
      <c r="C89">
        <v>1</v>
      </c>
      <c r="D89">
        <v>0</v>
      </c>
      <c r="E89">
        <v>2</v>
      </c>
      <c r="F89">
        <v>18.28</v>
      </c>
      <c r="G89">
        <v>4</v>
      </c>
      <c r="H89" s="25">
        <f t="shared" si="1"/>
        <v>2.7645195968364518</v>
      </c>
    </row>
    <row r="90" spans="1:8" x14ac:dyDescent="0.35">
      <c r="A90">
        <v>1</v>
      </c>
      <c r="B90">
        <v>1</v>
      </c>
      <c r="C90">
        <v>1</v>
      </c>
      <c r="D90">
        <v>0</v>
      </c>
      <c r="E90">
        <v>2</v>
      </c>
      <c r="F90">
        <v>24.71</v>
      </c>
      <c r="G90">
        <v>5.85</v>
      </c>
      <c r="H90" s="25">
        <f t="shared" si="1"/>
        <v>3.3706340214823096</v>
      </c>
    </row>
    <row r="91" spans="1:8" x14ac:dyDescent="0.35">
      <c r="A91">
        <v>1</v>
      </c>
      <c r="B91">
        <v>1</v>
      </c>
      <c r="C91">
        <v>1</v>
      </c>
      <c r="D91">
        <v>0</v>
      </c>
      <c r="E91">
        <v>2</v>
      </c>
      <c r="F91">
        <v>21.16</v>
      </c>
      <c r="G91">
        <v>3</v>
      </c>
      <c r="H91" s="25">
        <f t="shared" si="1"/>
        <v>3.0359985304258874</v>
      </c>
    </row>
    <row r="92" spans="1:8" x14ac:dyDescent="0.35">
      <c r="A92">
        <v>1</v>
      </c>
      <c r="B92">
        <v>0</v>
      </c>
      <c r="C92">
        <v>2</v>
      </c>
      <c r="D92">
        <v>1</v>
      </c>
      <c r="E92">
        <v>2</v>
      </c>
      <c r="F92">
        <v>28.97</v>
      </c>
      <c r="G92">
        <v>3</v>
      </c>
      <c r="H92" s="25">
        <f t="shared" si="1"/>
        <v>3.6363513232220281</v>
      </c>
    </row>
    <row r="93" spans="1:8" x14ac:dyDescent="0.35">
      <c r="A93">
        <v>1</v>
      </c>
      <c r="B93">
        <v>1</v>
      </c>
      <c r="C93">
        <v>2</v>
      </c>
      <c r="D93">
        <v>1</v>
      </c>
      <c r="E93">
        <v>2</v>
      </c>
      <c r="F93">
        <v>22.49</v>
      </c>
      <c r="G93">
        <v>3.5</v>
      </c>
      <c r="H93" s="25">
        <f t="shared" si="1"/>
        <v>3.0983680534357312</v>
      </c>
    </row>
    <row r="94" spans="1:8" x14ac:dyDescent="0.35">
      <c r="A94">
        <v>0</v>
      </c>
      <c r="B94">
        <v>0</v>
      </c>
      <c r="C94">
        <v>2</v>
      </c>
      <c r="D94">
        <v>1</v>
      </c>
      <c r="E94">
        <v>2</v>
      </c>
      <c r="F94">
        <v>5.75</v>
      </c>
      <c r="G94">
        <v>1</v>
      </c>
      <c r="H94" s="25">
        <f t="shared" si="1"/>
        <v>1.4841849359235759</v>
      </c>
    </row>
    <row r="95" spans="1:8" x14ac:dyDescent="0.35">
      <c r="A95">
        <v>0</v>
      </c>
      <c r="B95">
        <v>0</v>
      </c>
      <c r="C95">
        <v>2</v>
      </c>
      <c r="D95">
        <v>1</v>
      </c>
      <c r="E95">
        <v>2</v>
      </c>
      <c r="F95">
        <v>16.32</v>
      </c>
      <c r="G95">
        <v>4.3</v>
      </c>
      <c r="H95" s="25">
        <f t="shared" si="1"/>
        <v>2.4805503276042473</v>
      </c>
    </row>
    <row r="96" spans="1:8" x14ac:dyDescent="0.35">
      <c r="A96">
        <v>0</v>
      </c>
      <c r="B96">
        <v>1</v>
      </c>
      <c r="C96">
        <v>2</v>
      </c>
      <c r="D96">
        <v>1</v>
      </c>
      <c r="E96">
        <v>2</v>
      </c>
      <c r="F96">
        <v>22.75</v>
      </c>
      <c r="G96">
        <v>3.25</v>
      </c>
      <c r="H96" s="25">
        <f t="shared" si="1"/>
        <v>3.1595090830400379</v>
      </c>
    </row>
    <row r="97" spans="1:8" x14ac:dyDescent="0.35">
      <c r="A97">
        <v>1</v>
      </c>
      <c r="B97">
        <v>0</v>
      </c>
      <c r="C97">
        <v>2</v>
      </c>
      <c r="D97">
        <v>1</v>
      </c>
      <c r="E97">
        <v>4</v>
      </c>
      <c r="F97">
        <v>40.17</v>
      </c>
      <c r="G97">
        <v>4.7300000000000004</v>
      </c>
      <c r="H97" s="25">
        <f t="shared" si="1"/>
        <v>5.0420314727194047</v>
      </c>
    </row>
    <row r="98" spans="1:8" x14ac:dyDescent="0.35">
      <c r="A98">
        <v>1</v>
      </c>
      <c r="B98">
        <v>0</v>
      </c>
      <c r="C98">
        <v>2</v>
      </c>
      <c r="D98">
        <v>1</v>
      </c>
      <c r="E98">
        <v>2</v>
      </c>
      <c r="F98">
        <v>27.28</v>
      </c>
      <c r="G98">
        <v>4</v>
      </c>
      <c r="H98" s="25">
        <f t="shared" si="1"/>
        <v>3.4770459767754502</v>
      </c>
    </row>
    <row r="99" spans="1:8" x14ac:dyDescent="0.35">
      <c r="A99">
        <v>1</v>
      </c>
      <c r="B99">
        <v>0</v>
      </c>
      <c r="C99">
        <v>2</v>
      </c>
      <c r="D99">
        <v>1</v>
      </c>
      <c r="E99">
        <v>2</v>
      </c>
      <c r="F99">
        <v>12.03</v>
      </c>
      <c r="G99">
        <v>1.5</v>
      </c>
      <c r="H99" s="25">
        <f t="shared" si="1"/>
        <v>2.0395273180119462</v>
      </c>
    </row>
    <row r="100" spans="1:8" x14ac:dyDescent="0.35">
      <c r="A100">
        <v>1</v>
      </c>
      <c r="B100">
        <v>0</v>
      </c>
      <c r="C100">
        <v>2</v>
      </c>
      <c r="D100">
        <v>1</v>
      </c>
      <c r="E100">
        <v>2</v>
      </c>
      <c r="F100">
        <v>21.01</v>
      </c>
      <c r="G100">
        <v>3</v>
      </c>
      <c r="H100" s="25">
        <f t="shared" si="1"/>
        <v>2.8860137151067833</v>
      </c>
    </row>
    <row r="101" spans="1:8" x14ac:dyDescent="0.35">
      <c r="A101">
        <v>1</v>
      </c>
      <c r="B101">
        <v>1</v>
      </c>
      <c r="C101">
        <v>2</v>
      </c>
      <c r="D101">
        <v>1</v>
      </c>
      <c r="E101">
        <v>2</v>
      </c>
      <c r="F101">
        <v>12.46</v>
      </c>
      <c r="G101">
        <v>1.5</v>
      </c>
      <c r="H101" s="25">
        <f t="shared" si="1"/>
        <v>2.1529049618030793</v>
      </c>
    </row>
    <row r="102" spans="1:8" x14ac:dyDescent="0.35">
      <c r="A102">
        <v>0</v>
      </c>
      <c r="B102">
        <v>0</v>
      </c>
      <c r="C102">
        <v>2</v>
      </c>
      <c r="D102">
        <v>1</v>
      </c>
      <c r="E102">
        <v>2</v>
      </c>
      <c r="F102">
        <v>11.35</v>
      </c>
      <c r="G102">
        <v>2.5</v>
      </c>
      <c r="H102" s="25">
        <f t="shared" si="1"/>
        <v>2.0120606401252559</v>
      </c>
    </row>
    <row r="103" spans="1:8" x14ac:dyDescent="0.35">
      <c r="A103">
        <v>0</v>
      </c>
      <c r="B103">
        <v>0</v>
      </c>
      <c r="C103">
        <v>2</v>
      </c>
      <c r="D103">
        <v>1</v>
      </c>
      <c r="E103">
        <v>2</v>
      </c>
      <c r="F103">
        <v>15.38</v>
      </c>
      <c r="G103">
        <v>3</v>
      </c>
      <c r="H103" s="25">
        <f t="shared" si="1"/>
        <v>2.3919426201132508</v>
      </c>
    </row>
    <row r="104" spans="1:8" x14ac:dyDescent="0.35">
      <c r="A104">
        <v>0</v>
      </c>
      <c r="B104">
        <v>0</v>
      </c>
      <c r="C104">
        <v>3</v>
      </c>
      <c r="D104">
        <v>1</v>
      </c>
      <c r="E104">
        <v>3</v>
      </c>
      <c r="F104">
        <v>44.3</v>
      </c>
      <c r="G104">
        <v>2.5</v>
      </c>
      <c r="H104" s="25">
        <f t="shared" si="1"/>
        <v>5.3460132537704421</v>
      </c>
    </row>
    <row r="105" spans="1:8" x14ac:dyDescent="0.35">
      <c r="A105">
        <v>0</v>
      </c>
      <c r="B105">
        <v>0</v>
      </c>
      <c r="C105">
        <v>3</v>
      </c>
      <c r="D105">
        <v>1</v>
      </c>
      <c r="E105">
        <v>2</v>
      </c>
      <c r="F105">
        <v>22.42</v>
      </c>
      <c r="G105">
        <v>3.48</v>
      </c>
      <c r="H105" s="25">
        <f t="shared" si="1"/>
        <v>3.1085630960925847</v>
      </c>
    </row>
    <row r="106" spans="1:8" x14ac:dyDescent="0.35">
      <c r="A106">
        <v>0</v>
      </c>
      <c r="B106">
        <v>1</v>
      </c>
      <c r="C106">
        <v>3</v>
      </c>
      <c r="D106">
        <v>1</v>
      </c>
      <c r="E106">
        <v>2</v>
      </c>
      <c r="F106">
        <v>20.92</v>
      </c>
      <c r="G106">
        <v>4.08</v>
      </c>
      <c r="H106" s="25">
        <f t="shared" si="1"/>
        <v>3.0400121489713534</v>
      </c>
    </row>
    <row r="107" spans="1:8" x14ac:dyDescent="0.35">
      <c r="A107">
        <v>1</v>
      </c>
      <c r="B107">
        <v>0</v>
      </c>
      <c r="C107">
        <v>3</v>
      </c>
      <c r="D107">
        <v>1</v>
      </c>
      <c r="E107">
        <v>2</v>
      </c>
      <c r="F107">
        <v>15.36</v>
      </c>
      <c r="G107">
        <v>1.64</v>
      </c>
      <c r="H107" s="25">
        <f t="shared" si="1"/>
        <v>2.4064301399576662</v>
      </c>
    </row>
    <row r="108" spans="1:8" x14ac:dyDescent="0.35">
      <c r="A108">
        <v>1</v>
      </c>
      <c r="B108">
        <v>0</v>
      </c>
      <c r="C108">
        <v>3</v>
      </c>
      <c r="D108">
        <v>1</v>
      </c>
      <c r="E108">
        <v>2</v>
      </c>
      <c r="F108">
        <v>20.49</v>
      </c>
      <c r="G108">
        <v>4.0599999999999996</v>
      </c>
      <c r="H108" s="25">
        <f t="shared" si="1"/>
        <v>2.8900019904138485</v>
      </c>
    </row>
    <row r="109" spans="1:8" x14ac:dyDescent="0.35">
      <c r="A109">
        <v>1</v>
      </c>
      <c r="B109">
        <v>0</v>
      </c>
      <c r="C109">
        <v>3</v>
      </c>
      <c r="D109">
        <v>1</v>
      </c>
      <c r="E109">
        <v>2</v>
      </c>
      <c r="F109">
        <v>25.21</v>
      </c>
      <c r="G109">
        <v>4.29</v>
      </c>
      <c r="H109" s="25">
        <f t="shared" si="1"/>
        <v>3.3349257982409788</v>
      </c>
    </row>
    <row r="110" spans="1:8" x14ac:dyDescent="0.35">
      <c r="A110">
        <v>1</v>
      </c>
      <c r="B110">
        <v>1</v>
      </c>
      <c r="C110">
        <v>3</v>
      </c>
      <c r="D110">
        <v>1</v>
      </c>
      <c r="E110">
        <v>2</v>
      </c>
      <c r="F110">
        <v>18.239999999999998</v>
      </c>
      <c r="G110">
        <v>3.76</v>
      </c>
      <c r="H110" s="25">
        <f t="shared" si="1"/>
        <v>2.750753404337035</v>
      </c>
    </row>
    <row r="111" spans="1:8" x14ac:dyDescent="0.35">
      <c r="A111">
        <v>0</v>
      </c>
      <c r="B111">
        <v>0</v>
      </c>
      <c r="C111">
        <v>3</v>
      </c>
      <c r="D111">
        <v>1</v>
      </c>
      <c r="E111">
        <v>2</v>
      </c>
      <c r="F111">
        <v>14.31</v>
      </c>
      <c r="G111">
        <v>4</v>
      </c>
      <c r="H111" s="25">
        <f t="shared" si="1"/>
        <v>2.3440859601862227</v>
      </c>
    </row>
    <row r="112" spans="1:8" x14ac:dyDescent="0.35">
      <c r="A112">
        <v>1</v>
      </c>
      <c r="B112">
        <v>1</v>
      </c>
      <c r="C112">
        <v>3</v>
      </c>
      <c r="D112">
        <v>1</v>
      </c>
      <c r="E112">
        <v>2</v>
      </c>
      <c r="F112">
        <v>14</v>
      </c>
      <c r="G112">
        <v>3</v>
      </c>
      <c r="H112" s="25">
        <f t="shared" si="1"/>
        <v>2.3510760854414774</v>
      </c>
    </row>
    <row r="113" spans="1:8" x14ac:dyDescent="0.35">
      <c r="A113">
        <v>0</v>
      </c>
      <c r="B113">
        <v>1</v>
      </c>
      <c r="C113">
        <v>3</v>
      </c>
      <c r="D113">
        <v>1</v>
      </c>
      <c r="E113">
        <v>1</v>
      </c>
      <c r="F113">
        <v>7.25</v>
      </c>
      <c r="G113">
        <v>1</v>
      </c>
      <c r="H113" s="25">
        <f t="shared" si="1"/>
        <v>1.5764654790606012</v>
      </c>
    </row>
    <row r="114" spans="1:8" x14ac:dyDescent="0.35">
      <c r="A114">
        <v>1</v>
      </c>
      <c r="B114">
        <v>1</v>
      </c>
      <c r="C114">
        <v>4</v>
      </c>
      <c r="D114">
        <v>1</v>
      </c>
      <c r="E114">
        <v>3</v>
      </c>
      <c r="F114">
        <v>38.07</v>
      </c>
      <c r="G114">
        <v>4</v>
      </c>
      <c r="H114" s="25">
        <f t="shared" si="1"/>
        <v>4.8479686538525719</v>
      </c>
    </row>
    <row r="115" spans="1:8" x14ac:dyDescent="0.35">
      <c r="A115">
        <v>1</v>
      </c>
      <c r="B115">
        <v>1</v>
      </c>
      <c r="C115">
        <v>4</v>
      </c>
      <c r="D115">
        <v>1</v>
      </c>
      <c r="E115">
        <v>2</v>
      </c>
      <c r="F115">
        <v>23.95</v>
      </c>
      <c r="G115">
        <v>2.5499999999999998</v>
      </c>
      <c r="H115" s="25">
        <f t="shared" si="1"/>
        <v>3.34200340056847</v>
      </c>
    </row>
    <row r="116" spans="1:8" x14ac:dyDescent="0.35">
      <c r="A116">
        <v>0</v>
      </c>
      <c r="B116">
        <v>1</v>
      </c>
      <c r="C116">
        <v>4</v>
      </c>
      <c r="D116">
        <v>1</v>
      </c>
      <c r="E116">
        <v>3</v>
      </c>
      <c r="F116">
        <v>25.71</v>
      </c>
      <c r="G116">
        <v>4</v>
      </c>
      <c r="H116" s="25">
        <f t="shared" si="1"/>
        <v>3.7195040786309486</v>
      </c>
    </row>
    <row r="117" spans="1:8" x14ac:dyDescent="0.35">
      <c r="A117">
        <v>0</v>
      </c>
      <c r="B117">
        <v>1</v>
      </c>
      <c r="C117">
        <v>4</v>
      </c>
      <c r="D117">
        <v>1</v>
      </c>
      <c r="E117">
        <v>2</v>
      </c>
      <c r="F117">
        <v>17.309999999999999</v>
      </c>
      <c r="G117">
        <v>3.5</v>
      </c>
      <c r="H117" s="25">
        <f t="shared" si="1"/>
        <v>2.7527261517814203</v>
      </c>
    </row>
    <row r="118" spans="1:8" x14ac:dyDescent="0.35">
      <c r="A118">
        <v>1</v>
      </c>
      <c r="B118">
        <v>1</v>
      </c>
      <c r="C118">
        <v>4</v>
      </c>
      <c r="D118">
        <v>1</v>
      </c>
      <c r="E118">
        <v>4</v>
      </c>
      <c r="F118">
        <v>29.93</v>
      </c>
      <c r="G118">
        <v>5.07</v>
      </c>
      <c r="H118" s="25">
        <f t="shared" si="1"/>
        <v>4.2556279829349943</v>
      </c>
    </row>
    <row r="119" spans="1:8" x14ac:dyDescent="0.35">
      <c r="A119">
        <v>0</v>
      </c>
      <c r="B119">
        <v>1</v>
      </c>
      <c r="C119">
        <v>1</v>
      </c>
      <c r="D119">
        <v>0</v>
      </c>
      <c r="E119">
        <v>2</v>
      </c>
      <c r="F119">
        <v>10.65</v>
      </c>
      <c r="G119">
        <v>1.5</v>
      </c>
      <c r="H119" s="25">
        <f t="shared" si="1"/>
        <v>2.0819214646280337</v>
      </c>
    </row>
    <row r="120" spans="1:8" x14ac:dyDescent="0.35">
      <c r="A120">
        <v>0</v>
      </c>
      <c r="B120">
        <v>1</v>
      </c>
      <c r="C120">
        <v>1</v>
      </c>
      <c r="D120">
        <v>0</v>
      </c>
      <c r="E120">
        <v>2</v>
      </c>
      <c r="F120">
        <v>12.43</v>
      </c>
      <c r="G120">
        <v>1.8</v>
      </c>
      <c r="H120" s="25">
        <f t="shared" si="1"/>
        <v>2.2497105277492819</v>
      </c>
    </row>
    <row r="121" spans="1:8" x14ac:dyDescent="0.35">
      <c r="A121">
        <v>0</v>
      </c>
      <c r="B121">
        <v>1</v>
      </c>
      <c r="C121">
        <v>1</v>
      </c>
      <c r="D121">
        <v>0</v>
      </c>
      <c r="E121">
        <v>4</v>
      </c>
      <c r="F121">
        <v>24.08</v>
      </c>
      <c r="G121">
        <v>2.92</v>
      </c>
      <c r="H121" s="25">
        <f t="shared" si="1"/>
        <v>3.6978092606200077</v>
      </c>
    </row>
    <row r="122" spans="1:8" x14ac:dyDescent="0.35">
      <c r="A122">
        <v>1</v>
      </c>
      <c r="B122">
        <v>1</v>
      </c>
      <c r="C122">
        <v>1</v>
      </c>
      <c r="D122">
        <v>0</v>
      </c>
      <c r="E122">
        <v>2</v>
      </c>
      <c r="F122">
        <v>11.69</v>
      </c>
      <c r="G122">
        <v>2.31</v>
      </c>
      <c r="H122" s="25">
        <f t="shared" si="1"/>
        <v>2.143323009213403</v>
      </c>
    </row>
    <row r="123" spans="1:8" x14ac:dyDescent="0.35">
      <c r="A123">
        <v>0</v>
      </c>
      <c r="B123">
        <v>1</v>
      </c>
      <c r="C123">
        <v>1</v>
      </c>
      <c r="D123">
        <v>0</v>
      </c>
      <c r="E123">
        <v>2</v>
      </c>
      <c r="F123">
        <v>13.42</v>
      </c>
      <c r="G123">
        <v>1.68</v>
      </c>
      <c r="H123" s="25">
        <f t="shared" si="1"/>
        <v>2.3430314111706503</v>
      </c>
    </row>
    <row r="124" spans="1:8" x14ac:dyDescent="0.35">
      <c r="A124">
        <v>1</v>
      </c>
      <c r="B124">
        <v>1</v>
      </c>
      <c r="C124">
        <v>1</v>
      </c>
      <c r="D124">
        <v>0</v>
      </c>
      <c r="E124">
        <v>2</v>
      </c>
      <c r="F124">
        <v>14.26</v>
      </c>
      <c r="G124">
        <v>2.5</v>
      </c>
      <c r="H124" s="25">
        <f t="shared" si="1"/>
        <v>2.3855802520345311</v>
      </c>
    </row>
    <row r="125" spans="1:8" x14ac:dyDescent="0.35">
      <c r="A125">
        <v>1</v>
      </c>
      <c r="B125">
        <v>1</v>
      </c>
      <c r="C125">
        <v>1</v>
      </c>
      <c r="D125">
        <v>0</v>
      </c>
      <c r="E125">
        <v>2</v>
      </c>
      <c r="F125">
        <v>15.95</v>
      </c>
      <c r="G125">
        <v>2</v>
      </c>
      <c r="H125" s="25">
        <f t="shared" si="1"/>
        <v>2.5448855984811098</v>
      </c>
    </row>
    <row r="126" spans="1:8" x14ac:dyDescent="0.35">
      <c r="A126">
        <v>0</v>
      </c>
      <c r="B126">
        <v>1</v>
      </c>
      <c r="C126">
        <v>1</v>
      </c>
      <c r="D126">
        <v>0</v>
      </c>
      <c r="E126">
        <v>2</v>
      </c>
      <c r="F126">
        <v>12.48</v>
      </c>
      <c r="G126">
        <v>2.52</v>
      </c>
      <c r="H126" s="25">
        <f t="shared" si="1"/>
        <v>2.2544237036796542</v>
      </c>
    </row>
    <row r="127" spans="1:8" x14ac:dyDescent="0.35">
      <c r="A127">
        <v>0</v>
      </c>
      <c r="B127">
        <v>1</v>
      </c>
      <c r="C127">
        <v>1</v>
      </c>
      <c r="D127">
        <v>0</v>
      </c>
      <c r="E127">
        <v>6</v>
      </c>
      <c r="F127">
        <v>29.8</v>
      </c>
      <c r="G127">
        <v>4.2</v>
      </c>
      <c r="H127" s="25">
        <f t="shared" si="1"/>
        <v>4.5869253281485971</v>
      </c>
    </row>
    <row r="128" spans="1:8" x14ac:dyDescent="0.35">
      <c r="A128">
        <v>1</v>
      </c>
      <c r="B128">
        <v>1</v>
      </c>
      <c r="C128">
        <v>1</v>
      </c>
      <c r="D128">
        <v>0</v>
      </c>
      <c r="E128">
        <v>2</v>
      </c>
      <c r="F128">
        <v>8.52</v>
      </c>
      <c r="G128">
        <v>1.48</v>
      </c>
      <c r="H128" s="25">
        <f t="shared" si="1"/>
        <v>1.844507655227809</v>
      </c>
    </row>
    <row r="129" spans="1:8" x14ac:dyDescent="0.35">
      <c r="A129">
        <v>0</v>
      </c>
      <c r="B129">
        <v>1</v>
      </c>
      <c r="C129">
        <v>1</v>
      </c>
      <c r="D129">
        <v>0</v>
      </c>
      <c r="E129">
        <v>2</v>
      </c>
      <c r="F129">
        <v>14.52</v>
      </c>
      <c r="G129">
        <v>2</v>
      </c>
      <c r="H129" s="25">
        <f t="shared" si="1"/>
        <v>2.4467212816388377</v>
      </c>
    </row>
    <row r="130" spans="1:8" x14ac:dyDescent="0.35">
      <c r="A130">
        <v>0</v>
      </c>
      <c r="B130">
        <v>1</v>
      </c>
      <c r="C130">
        <v>1</v>
      </c>
      <c r="D130">
        <v>0</v>
      </c>
      <c r="E130">
        <v>2</v>
      </c>
      <c r="F130">
        <v>11.38</v>
      </c>
      <c r="G130">
        <v>2</v>
      </c>
      <c r="H130" s="25">
        <f t="shared" si="1"/>
        <v>2.1507338332114672</v>
      </c>
    </row>
    <row r="131" spans="1:8" x14ac:dyDescent="0.35">
      <c r="A131">
        <v>1</v>
      </c>
      <c r="B131">
        <v>1</v>
      </c>
      <c r="C131">
        <v>1</v>
      </c>
      <c r="D131">
        <v>0</v>
      </c>
      <c r="E131">
        <v>3</v>
      </c>
      <c r="F131">
        <v>22.82</v>
      </c>
      <c r="G131">
        <v>2.1800000000000002</v>
      </c>
      <c r="H131" s="25">
        <f t="shared" ref="H131:H194" si="2">$L$4+$L$5*A131+$L$6*B131+$L$7*C131+$L$8*D131+$L$9*E131+$L$10*F131</f>
        <v>3.3674403418612506</v>
      </c>
    </row>
    <row r="132" spans="1:8" x14ac:dyDescent="0.35">
      <c r="A132">
        <v>1</v>
      </c>
      <c r="B132">
        <v>1</v>
      </c>
      <c r="C132">
        <v>1</v>
      </c>
      <c r="D132">
        <v>0</v>
      </c>
      <c r="E132">
        <v>2</v>
      </c>
      <c r="F132">
        <v>19.079999999999998</v>
      </c>
      <c r="G132">
        <v>1.5</v>
      </c>
      <c r="H132" s="25">
        <f t="shared" si="2"/>
        <v>2.8399304117224058</v>
      </c>
    </row>
    <row r="133" spans="1:8" x14ac:dyDescent="0.35">
      <c r="A133">
        <v>0</v>
      </c>
      <c r="B133">
        <v>1</v>
      </c>
      <c r="C133">
        <v>1</v>
      </c>
      <c r="D133">
        <v>0</v>
      </c>
      <c r="E133">
        <v>2</v>
      </c>
      <c r="F133">
        <v>20.27</v>
      </c>
      <c r="G133">
        <v>2.83</v>
      </c>
      <c r="H133" s="25">
        <f t="shared" si="2"/>
        <v>2.9887365136316344</v>
      </c>
    </row>
    <row r="134" spans="1:8" x14ac:dyDescent="0.35">
      <c r="A134">
        <v>0</v>
      </c>
      <c r="B134">
        <v>1</v>
      </c>
      <c r="C134">
        <v>1</v>
      </c>
      <c r="D134">
        <v>0</v>
      </c>
      <c r="E134">
        <v>2</v>
      </c>
      <c r="F134">
        <v>11.17</v>
      </c>
      <c r="G134">
        <v>1.5</v>
      </c>
      <c r="H134" s="25">
        <f t="shared" si="2"/>
        <v>2.130938494303904</v>
      </c>
    </row>
    <row r="135" spans="1:8" x14ac:dyDescent="0.35">
      <c r="A135">
        <v>0</v>
      </c>
      <c r="B135">
        <v>1</v>
      </c>
      <c r="C135">
        <v>1</v>
      </c>
      <c r="D135">
        <v>0</v>
      </c>
      <c r="E135">
        <v>2</v>
      </c>
      <c r="F135">
        <v>12.26</v>
      </c>
      <c r="G135">
        <v>2</v>
      </c>
      <c r="H135" s="25">
        <f t="shared" si="2"/>
        <v>2.2336857295860169</v>
      </c>
    </row>
    <row r="136" spans="1:8" x14ac:dyDescent="0.35">
      <c r="A136">
        <v>0</v>
      </c>
      <c r="B136">
        <v>1</v>
      </c>
      <c r="C136">
        <v>1</v>
      </c>
      <c r="D136">
        <v>0</v>
      </c>
      <c r="E136">
        <v>2</v>
      </c>
      <c r="F136">
        <v>18.260000000000002</v>
      </c>
      <c r="G136">
        <v>3.25</v>
      </c>
      <c r="H136" s="25">
        <f t="shared" si="2"/>
        <v>2.7992668412306743</v>
      </c>
    </row>
    <row r="137" spans="1:8" x14ac:dyDescent="0.35">
      <c r="A137">
        <v>0</v>
      </c>
      <c r="B137">
        <v>1</v>
      </c>
      <c r="C137">
        <v>1</v>
      </c>
      <c r="D137">
        <v>0</v>
      </c>
      <c r="E137">
        <v>2</v>
      </c>
      <c r="F137">
        <v>8.51</v>
      </c>
      <c r="G137">
        <v>1.25</v>
      </c>
      <c r="H137" s="25">
        <f t="shared" si="2"/>
        <v>1.8801975348081061</v>
      </c>
    </row>
    <row r="138" spans="1:8" x14ac:dyDescent="0.35">
      <c r="A138">
        <v>0</v>
      </c>
      <c r="B138">
        <v>1</v>
      </c>
      <c r="C138">
        <v>1</v>
      </c>
      <c r="D138">
        <v>0</v>
      </c>
      <c r="E138">
        <v>2</v>
      </c>
      <c r="F138">
        <v>10.33</v>
      </c>
      <c r="G138">
        <v>2</v>
      </c>
      <c r="H138" s="25">
        <f t="shared" si="2"/>
        <v>2.0517571386736519</v>
      </c>
    </row>
    <row r="139" spans="1:8" x14ac:dyDescent="0.35">
      <c r="A139">
        <v>0</v>
      </c>
      <c r="B139">
        <v>1</v>
      </c>
      <c r="C139">
        <v>1</v>
      </c>
      <c r="D139">
        <v>0</v>
      </c>
      <c r="E139">
        <v>2</v>
      </c>
      <c r="F139">
        <v>14.15</v>
      </c>
      <c r="G139">
        <v>2</v>
      </c>
      <c r="H139" s="25">
        <f t="shared" si="2"/>
        <v>2.4118437797540837</v>
      </c>
    </row>
    <row r="140" spans="1:8" x14ac:dyDescent="0.35">
      <c r="A140">
        <v>1</v>
      </c>
      <c r="B140">
        <v>0</v>
      </c>
      <c r="C140">
        <v>1</v>
      </c>
      <c r="D140">
        <v>0</v>
      </c>
      <c r="E140">
        <v>2</v>
      </c>
      <c r="F140">
        <v>16</v>
      </c>
      <c r="G140">
        <v>2</v>
      </c>
      <c r="H140" s="25">
        <f t="shared" si="2"/>
        <v>2.4767544436215485</v>
      </c>
    </row>
    <row r="141" spans="1:8" x14ac:dyDescent="0.35">
      <c r="A141">
        <v>0</v>
      </c>
      <c r="B141">
        <v>1</v>
      </c>
      <c r="C141">
        <v>1</v>
      </c>
      <c r="D141">
        <v>0</v>
      </c>
      <c r="E141">
        <v>2</v>
      </c>
      <c r="F141">
        <v>13.16</v>
      </c>
      <c r="G141">
        <v>2.75</v>
      </c>
      <c r="H141" s="25">
        <f t="shared" si="2"/>
        <v>2.3185228963327154</v>
      </c>
    </row>
    <row r="142" spans="1:8" x14ac:dyDescent="0.35">
      <c r="A142">
        <v>0</v>
      </c>
      <c r="B142">
        <v>1</v>
      </c>
      <c r="C142">
        <v>1</v>
      </c>
      <c r="D142">
        <v>0</v>
      </c>
      <c r="E142">
        <v>2</v>
      </c>
      <c r="F142">
        <v>17.47</v>
      </c>
      <c r="G142">
        <v>3.5</v>
      </c>
      <c r="H142" s="25">
        <f t="shared" si="2"/>
        <v>2.7247986615307944</v>
      </c>
    </row>
    <row r="143" spans="1:8" x14ac:dyDescent="0.35">
      <c r="A143">
        <v>1</v>
      </c>
      <c r="B143">
        <v>1</v>
      </c>
      <c r="C143">
        <v>1</v>
      </c>
      <c r="D143">
        <v>0</v>
      </c>
      <c r="E143">
        <v>6</v>
      </c>
      <c r="F143">
        <v>34.299999999999997</v>
      </c>
      <c r="G143">
        <v>6.7</v>
      </c>
      <c r="H143" s="25">
        <f t="shared" si="2"/>
        <v>4.9744786471157187</v>
      </c>
    </row>
    <row r="144" spans="1:8" x14ac:dyDescent="0.35">
      <c r="A144">
        <v>1</v>
      </c>
      <c r="B144">
        <v>1</v>
      </c>
      <c r="C144">
        <v>1</v>
      </c>
      <c r="D144">
        <v>0</v>
      </c>
      <c r="E144">
        <v>5</v>
      </c>
      <c r="F144">
        <v>41.19</v>
      </c>
      <c r="G144">
        <v>5</v>
      </c>
      <c r="H144" s="25">
        <f t="shared" si="2"/>
        <v>5.4489899197739922</v>
      </c>
    </row>
    <row r="145" spans="1:8" x14ac:dyDescent="0.35">
      <c r="A145">
        <v>0</v>
      </c>
      <c r="B145">
        <v>1</v>
      </c>
      <c r="C145">
        <v>1</v>
      </c>
      <c r="D145">
        <v>0</v>
      </c>
      <c r="E145">
        <v>6</v>
      </c>
      <c r="F145">
        <v>27.05</v>
      </c>
      <c r="G145">
        <v>5</v>
      </c>
      <c r="H145" s="25">
        <f t="shared" si="2"/>
        <v>4.3277006519781294</v>
      </c>
    </row>
    <row r="146" spans="1:8" x14ac:dyDescent="0.35">
      <c r="A146">
        <v>0</v>
      </c>
      <c r="B146">
        <v>1</v>
      </c>
      <c r="C146">
        <v>1</v>
      </c>
      <c r="D146">
        <v>0</v>
      </c>
      <c r="E146">
        <v>2</v>
      </c>
      <c r="F146">
        <v>16.43</v>
      </c>
      <c r="G146">
        <v>2.2999999999999998</v>
      </c>
      <c r="H146" s="25">
        <f t="shared" si="2"/>
        <v>2.6267646021790538</v>
      </c>
    </row>
    <row r="147" spans="1:8" x14ac:dyDescent="0.35">
      <c r="A147">
        <v>0</v>
      </c>
      <c r="B147">
        <v>1</v>
      </c>
      <c r="C147">
        <v>1</v>
      </c>
      <c r="D147">
        <v>0</v>
      </c>
      <c r="E147">
        <v>2</v>
      </c>
      <c r="F147">
        <v>8.35</v>
      </c>
      <c r="G147">
        <v>1.5</v>
      </c>
      <c r="H147" s="25">
        <f t="shared" si="2"/>
        <v>1.8651153718309152</v>
      </c>
    </row>
    <row r="148" spans="1:8" x14ac:dyDescent="0.35">
      <c r="A148">
        <v>0</v>
      </c>
      <c r="B148">
        <v>1</v>
      </c>
      <c r="C148">
        <v>1</v>
      </c>
      <c r="D148">
        <v>0</v>
      </c>
      <c r="E148">
        <v>3</v>
      </c>
      <c r="F148">
        <v>18.64</v>
      </c>
      <c r="G148">
        <v>1.36</v>
      </c>
      <c r="H148" s="25">
        <f t="shared" si="2"/>
        <v>3.0100513488485108</v>
      </c>
    </row>
    <row r="149" spans="1:8" x14ac:dyDescent="0.35">
      <c r="A149">
        <v>0</v>
      </c>
      <c r="B149">
        <v>1</v>
      </c>
      <c r="C149">
        <v>1</v>
      </c>
      <c r="D149">
        <v>0</v>
      </c>
      <c r="E149">
        <v>2</v>
      </c>
      <c r="F149">
        <v>11.87</v>
      </c>
      <c r="G149">
        <v>1.63</v>
      </c>
      <c r="H149" s="25">
        <f t="shared" si="2"/>
        <v>2.196922957329114</v>
      </c>
    </row>
    <row r="150" spans="1:8" x14ac:dyDescent="0.35">
      <c r="A150">
        <v>1</v>
      </c>
      <c r="B150">
        <v>1</v>
      </c>
      <c r="C150">
        <v>1</v>
      </c>
      <c r="D150">
        <v>0</v>
      </c>
      <c r="E150">
        <v>2</v>
      </c>
      <c r="F150">
        <v>9.7799999999999994</v>
      </c>
      <c r="G150">
        <v>1.73</v>
      </c>
      <c r="H150" s="25">
        <f t="shared" si="2"/>
        <v>1.9632796886731871</v>
      </c>
    </row>
    <row r="151" spans="1:8" x14ac:dyDescent="0.35">
      <c r="A151">
        <v>1</v>
      </c>
      <c r="B151">
        <v>1</v>
      </c>
      <c r="C151">
        <v>1</v>
      </c>
      <c r="D151">
        <v>0</v>
      </c>
      <c r="E151">
        <v>2</v>
      </c>
      <c r="F151">
        <v>7.51</v>
      </c>
      <c r="G151">
        <v>2</v>
      </c>
      <c r="H151" s="25">
        <f t="shared" si="2"/>
        <v>1.7493015014342919</v>
      </c>
    </row>
    <row r="152" spans="1:8" x14ac:dyDescent="0.35">
      <c r="A152">
        <v>1</v>
      </c>
      <c r="B152">
        <v>1</v>
      </c>
      <c r="C152">
        <v>4</v>
      </c>
      <c r="D152">
        <v>1</v>
      </c>
      <c r="E152">
        <v>2</v>
      </c>
      <c r="F152">
        <v>14.07</v>
      </c>
      <c r="G152">
        <v>2.5</v>
      </c>
      <c r="H152" s="25">
        <f t="shared" si="2"/>
        <v>2.410679836726934</v>
      </c>
    </row>
    <row r="153" spans="1:8" x14ac:dyDescent="0.35">
      <c r="A153">
        <v>1</v>
      </c>
      <c r="B153">
        <v>1</v>
      </c>
      <c r="C153">
        <v>4</v>
      </c>
      <c r="D153">
        <v>1</v>
      </c>
      <c r="E153">
        <v>2</v>
      </c>
      <c r="F153">
        <v>13.13</v>
      </c>
      <c r="G153">
        <v>2</v>
      </c>
      <c r="H153" s="25">
        <f t="shared" si="2"/>
        <v>2.3220721292359379</v>
      </c>
    </row>
    <row r="154" spans="1:8" x14ac:dyDescent="0.35">
      <c r="A154">
        <v>1</v>
      </c>
      <c r="B154">
        <v>1</v>
      </c>
      <c r="C154">
        <v>4</v>
      </c>
      <c r="D154">
        <v>1</v>
      </c>
      <c r="E154">
        <v>3</v>
      </c>
      <c r="F154">
        <v>17.260000000000002</v>
      </c>
      <c r="G154">
        <v>2.74</v>
      </c>
      <c r="H154" s="25">
        <f t="shared" si="2"/>
        <v>2.8863448316316851</v>
      </c>
    </row>
    <row r="155" spans="1:8" x14ac:dyDescent="0.35">
      <c r="A155">
        <v>1</v>
      </c>
      <c r="B155">
        <v>1</v>
      </c>
      <c r="C155">
        <v>4</v>
      </c>
      <c r="D155">
        <v>1</v>
      </c>
      <c r="E155">
        <v>4</v>
      </c>
      <c r="F155">
        <v>24.55</v>
      </c>
      <c r="G155">
        <v>2</v>
      </c>
      <c r="H155" s="25">
        <f t="shared" si="2"/>
        <v>3.7484902528269521</v>
      </c>
    </row>
    <row r="156" spans="1:8" x14ac:dyDescent="0.35">
      <c r="A156">
        <v>1</v>
      </c>
      <c r="B156">
        <v>1</v>
      </c>
      <c r="C156">
        <v>4</v>
      </c>
      <c r="D156">
        <v>1</v>
      </c>
      <c r="E156">
        <v>4</v>
      </c>
      <c r="F156">
        <v>19.77</v>
      </c>
      <c r="G156">
        <v>2</v>
      </c>
      <c r="H156" s="25">
        <f t="shared" si="2"/>
        <v>3.297910633883375</v>
      </c>
    </row>
    <row r="157" spans="1:8" x14ac:dyDescent="0.35">
      <c r="A157">
        <v>0</v>
      </c>
      <c r="B157">
        <v>1</v>
      </c>
      <c r="C157">
        <v>4</v>
      </c>
      <c r="D157">
        <v>1</v>
      </c>
      <c r="E157">
        <v>5</v>
      </c>
      <c r="F157">
        <v>29.85</v>
      </c>
      <c r="G157">
        <v>5.14</v>
      </c>
      <c r="H157" s="25">
        <f t="shared" si="2"/>
        <v>4.4596837867597783</v>
      </c>
    </row>
    <row r="158" spans="1:8" x14ac:dyDescent="0.35">
      <c r="A158">
        <v>1</v>
      </c>
      <c r="B158">
        <v>1</v>
      </c>
      <c r="C158">
        <v>4</v>
      </c>
      <c r="D158">
        <v>1</v>
      </c>
      <c r="E158">
        <v>6</v>
      </c>
      <c r="F158">
        <v>48.17</v>
      </c>
      <c r="G158">
        <v>5</v>
      </c>
      <c r="H158" s="25">
        <f t="shared" si="2"/>
        <v>6.3249233034287684</v>
      </c>
    </row>
    <row r="159" spans="1:8" x14ac:dyDescent="0.35">
      <c r="A159">
        <v>0</v>
      </c>
      <c r="B159">
        <v>1</v>
      </c>
      <c r="C159">
        <v>4</v>
      </c>
      <c r="D159">
        <v>1</v>
      </c>
      <c r="E159">
        <v>4</v>
      </c>
      <c r="F159">
        <v>25</v>
      </c>
      <c r="G159">
        <v>3.75</v>
      </c>
      <c r="H159" s="25">
        <f t="shared" si="2"/>
        <v>3.8275413509666727</v>
      </c>
    </row>
    <row r="160" spans="1:8" x14ac:dyDescent="0.35">
      <c r="A160">
        <v>0</v>
      </c>
      <c r="B160">
        <v>1</v>
      </c>
      <c r="C160">
        <v>4</v>
      </c>
      <c r="D160">
        <v>1</v>
      </c>
      <c r="E160">
        <v>2</v>
      </c>
      <c r="F160">
        <v>13.39</v>
      </c>
      <c r="G160">
        <v>2.61</v>
      </c>
      <c r="H160" s="25">
        <f t="shared" si="2"/>
        <v>2.3832131588402445</v>
      </c>
    </row>
    <row r="161" spans="1:8" x14ac:dyDescent="0.35">
      <c r="A161">
        <v>1</v>
      </c>
      <c r="B161">
        <v>1</v>
      </c>
      <c r="C161">
        <v>4</v>
      </c>
      <c r="D161">
        <v>1</v>
      </c>
      <c r="E161">
        <v>4</v>
      </c>
      <c r="F161">
        <v>16.489999999999998</v>
      </c>
      <c r="G161">
        <v>2</v>
      </c>
      <c r="H161" s="25">
        <f t="shared" si="2"/>
        <v>2.9887262928509619</v>
      </c>
    </row>
    <row r="162" spans="1:8" x14ac:dyDescent="0.35">
      <c r="A162">
        <v>1</v>
      </c>
      <c r="B162">
        <v>1</v>
      </c>
      <c r="C162">
        <v>4</v>
      </c>
      <c r="D162">
        <v>1</v>
      </c>
      <c r="E162">
        <v>4</v>
      </c>
      <c r="F162">
        <v>21.5</v>
      </c>
      <c r="G162">
        <v>3.5</v>
      </c>
      <c r="H162" s="25">
        <f t="shared" si="2"/>
        <v>3.460986521074251</v>
      </c>
    </row>
    <row r="163" spans="1:8" x14ac:dyDescent="0.35">
      <c r="A163">
        <v>1</v>
      </c>
      <c r="B163">
        <v>1</v>
      </c>
      <c r="C163">
        <v>4</v>
      </c>
      <c r="D163">
        <v>1</v>
      </c>
      <c r="E163">
        <v>2</v>
      </c>
      <c r="F163">
        <v>12.66</v>
      </c>
      <c r="G163">
        <v>2.5</v>
      </c>
      <c r="H163" s="25">
        <f t="shared" si="2"/>
        <v>2.2777682754904394</v>
      </c>
    </row>
    <row r="164" spans="1:8" x14ac:dyDescent="0.35">
      <c r="A164">
        <v>0</v>
      </c>
      <c r="B164">
        <v>1</v>
      </c>
      <c r="C164">
        <v>4</v>
      </c>
      <c r="D164">
        <v>1</v>
      </c>
      <c r="E164">
        <v>3</v>
      </c>
      <c r="F164">
        <v>16.21</v>
      </c>
      <c r="G164">
        <v>2</v>
      </c>
      <c r="H164" s="25">
        <f t="shared" si="2"/>
        <v>2.8240006518602412</v>
      </c>
    </row>
    <row r="165" spans="1:8" x14ac:dyDescent="0.35">
      <c r="A165">
        <v>1</v>
      </c>
      <c r="B165">
        <v>1</v>
      </c>
      <c r="C165">
        <v>4</v>
      </c>
      <c r="D165">
        <v>1</v>
      </c>
      <c r="E165">
        <v>2</v>
      </c>
      <c r="F165">
        <v>13.81</v>
      </c>
      <c r="G165">
        <v>2</v>
      </c>
      <c r="H165" s="25">
        <f t="shared" si="2"/>
        <v>2.3861713218889991</v>
      </c>
    </row>
    <row r="166" spans="1:8" x14ac:dyDescent="0.35">
      <c r="A166">
        <v>0</v>
      </c>
      <c r="B166">
        <v>0</v>
      </c>
      <c r="C166">
        <v>4</v>
      </c>
      <c r="D166">
        <v>1</v>
      </c>
      <c r="E166">
        <v>2</v>
      </c>
      <c r="F166">
        <v>17.510000000000002</v>
      </c>
      <c r="G166">
        <v>3</v>
      </c>
      <c r="H166" s="25">
        <f t="shared" si="2"/>
        <v>2.6987345247129761</v>
      </c>
    </row>
    <row r="167" spans="1:8" x14ac:dyDescent="0.35">
      <c r="A167">
        <v>1</v>
      </c>
      <c r="B167">
        <v>1</v>
      </c>
      <c r="C167">
        <v>4</v>
      </c>
      <c r="D167">
        <v>1</v>
      </c>
      <c r="E167">
        <v>3</v>
      </c>
      <c r="F167">
        <v>24.52</v>
      </c>
      <c r="G167">
        <v>3.48</v>
      </c>
      <c r="H167" s="25">
        <f t="shared" si="2"/>
        <v>3.5706979767217204</v>
      </c>
    </row>
    <row r="168" spans="1:8" x14ac:dyDescent="0.35">
      <c r="A168">
        <v>1</v>
      </c>
      <c r="B168">
        <v>1</v>
      </c>
      <c r="C168">
        <v>4</v>
      </c>
      <c r="D168">
        <v>1</v>
      </c>
      <c r="E168">
        <v>2</v>
      </c>
      <c r="F168">
        <v>20.76</v>
      </c>
      <c r="G168">
        <v>2.2400000000000002</v>
      </c>
      <c r="H168" s="25">
        <f t="shared" si="2"/>
        <v>3.0413027762107272</v>
      </c>
    </row>
    <row r="169" spans="1:8" x14ac:dyDescent="0.35">
      <c r="A169">
        <v>1</v>
      </c>
      <c r="B169">
        <v>1</v>
      </c>
      <c r="C169">
        <v>4</v>
      </c>
      <c r="D169">
        <v>1</v>
      </c>
      <c r="E169">
        <v>4</v>
      </c>
      <c r="F169">
        <v>31.71</v>
      </c>
      <c r="G169">
        <v>4.5</v>
      </c>
      <c r="H169" s="25">
        <f t="shared" si="2"/>
        <v>4.423417046056243</v>
      </c>
    </row>
    <row r="170" spans="1:8" x14ac:dyDescent="0.35">
      <c r="A170">
        <v>0</v>
      </c>
      <c r="B170">
        <v>0</v>
      </c>
      <c r="C170">
        <v>3</v>
      </c>
      <c r="D170">
        <v>1</v>
      </c>
      <c r="E170">
        <v>2</v>
      </c>
      <c r="F170">
        <v>10.59</v>
      </c>
      <c r="G170">
        <v>1.61</v>
      </c>
      <c r="H170" s="25">
        <f t="shared" si="2"/>
        <v>1.9934256709665354</v>
      </c>
    </row>
    <row r="171" spans="1:8" x14ac:dyDescent="0.35">
      <c r="A171">
        <v>0</v>
      </c>
      <c r="B171">
        <v>0</v>
      </c>
      <c r="C171">
        <v>3</v>
      </c>
      <c r="D171">
        <v>1</v>
      </c>
      <c r="E171">
        <v>2</v>
      </c>
      <c r="F171">
        <v>10.63</v>
      </c>
      <c r="G171">
        <v>2</v>
      </c>
      <c r="H171" s="25">
        <f t="shared" si="2"/>
        <v>1.9971962117108331</v>
      </c>
    </row>
    <row r="172" spans="1:8" x14ac:dyDescent="0.35">
      <c r="A172">
        <v>1</v>
      </c>
      <c r="B172">
        <v>0</v>
      </c>
      <c r="C172">
        <v>3</v>
      </c>
      <c r="D172">
        <v>1</v>
      </c>
      <c r="E172">
        <v>3</v>
      </c>
      <c r="F172">
        <v>50.81</v>
      </c>
      <c r="G172">
        <v>10</v>
      </c>
      <c r="H172" s="25">
        <f t="shared" si="2"/>
        <v>5.9230362451385252</v>
      </c>
    </row>
    <row r="173" spans="1:8" x14ac:dyDescent="0.35">
      <c r="A173">
        <v>1</v>
      </c>
      <c r="B173">
        <v>0</v>
      </c>
      <c r="C173">
        <v>3</v>
      </c>
      <c r="D173">
        <v>1</v>
      </c>
      <c r="E173">
        <v>2</v>
      </c>
      <c r="F173">
        <v>15.81</v>
      </c>
      <c r="G173">
        <v>3.16</v>
      </c>
      <c r="H173" s="25">
        <f t="shared" si="2"/>
        <v>2.4488487233310159</v>
      </c>
    </row>
    <row r="174" spans="1:8" x14ac:dyDescent="0.35">
      <c r="A174">
        <v>1</v>
      </c>
      <c r="B174">
        <v>0</v>
      </c>
      <c r="C174">
        <v>4</v>
      </c>
      <c r="D174">
        <v>1</v>
      </c>
      <c r="E174">
        <v>2</v>
      </c>
      <c r="F174">
        <v>7.25</v>
      </c>
      <c r="G174">
        <v>5.15</v>
      </c>
      <c r="H174" s="25">
        <f t="shared" si="2"/>
        <v>1.6949583090342406</v>
      </c>
    </row>
    <row r="175" spans="1:8" x14ac:dyDescent="0.35">
      <c r="A175">
        <v>1</v>
      </c>
      <c r="B175">
        <v>0</v>
      </c>
      <c r="C175">
        <v>4</v>
      </c>
      <c r="D175">
        <v>1</v>
      </c>
      <c r="E175">
        <v>2</v>
      </c>
      <c r="F175">
        <v>31.85</v>
      </c>
      <c r="G175">
        <v>3.18</v>
      </c>
      <c r="H175" s="25">
        <f t="shared" si="2"/>
        <v>4.0138408667773353</v>
      </c>
    </row>
    <row r="176" spans="1:8" x14ac:dyDescent="0.35">
      <c r="A176">
        <v>1</v>
      </c>
      <c r="B176">
        <v>0</v>
      </c>
      <c r="C176">
        <v>4</v>
      </c>
      <c r="D176">
        <v>1</v>
      </c>
      <c r="E176">
        <v>2</v>
      </c>
      <c r="F176">
        <v>16.82</v>
      </c>
      <c r="G176">
        <v>4</v>
      </c>
      <c r="H176" s="25">
        <f t="shared" si="2"/>
        <v>2.597060182107469</v>
      </c>
    </row>
    <row r="177" spans="1:8" x14ac:dyDescent="0.35">
      <c r="A177">
        <v>1</v>
      </c>
      <c r="B177">
        <v>0</v>
      </c>
      <c r="C177">
        <v>4</v>
      </c>
      <c r="D177">
        <v>1</v>
      </c>
      <c r="E177">
        <v>2</v>
      </c>
      <c r="F177">
        <v>32.9</v>
      </c>
      <c r="G177">
        <v>3.11</v>
      </c>
      <c r="H177" s="25">
        <f t="shared" si="2"/>
        <v>4.1128175613151505</v>
      </c>
    </row>
    <row r="178" spans="1:8" x14ac:dyDescent="0.35">
      <c r="A178">
        <v>1</v>
      </c>
      <c r="B178">
        <v>0</v>
      </c>
      <c r="C178">
        <v>4</v>
      </c>
      <c r="D178">
        <v>1</v>
      </c>
      <c r="E178">
        <v>2</v>
      </c>
      <c r="F178">
        <v>17.89</v>
      </c>
      <c r="G178">
        <v>2</v>
      </c>
      <c r="H178" s="25">
        <f t="shared" si="2"/>
        <v>2.697922147017433</v>
      </c>
    </row>
    <row r="179" spans="1:8" x14ac:dyDescent="0.35">
      <c r="A179">
        <v>1</v>
      </c>
      <c r="B179">
        <v>0</v>
      </c>
      <c r="C179">
        <v>4</v>
      </c>
      <c r="D179">
        <v>1</v>
      </c>
      <c r="E179">
        <v>2</v>
      </c>
      <c r="F179">
        <v>14.48</v>
      </c>
      <c r="G179">
        <v>2</v>
      </c>
      <c r="H179" s="25">
        <f t="shared" si="2"/>
        <v>2.3764835485660525</v>
      </c>
    </row>
    <row r="180" spans="1:8" x14ac:dyDescent="0.35">
      <c r="A180">
        <v>0</v>
      </c>
      <c r="B180">
        <v>0</v>
      </c>
      <c r="C180">
        <v>4</v>
      </c>
      <c r="D180">
        <v>1</v>
      </c>
      <c r="E180">
        <v>2</v>
      </c>
      <c r="F180">
        <v>9.6</v>
      </c>
      <c r="G180">
        <v>4</v>
      </c>
      <c r="H180" s="25">
        <f t="shared" si="2"/>
        <v>1.9531100925281026</v>
      </c>
    </row>
    <row r="181" spans="1:8" x14ac:dyDescent="0.35">
      <c r="A181">
        <v>1</v>
      </c>
      <c r="B181">
        <v>0</v>
      </c>
      <c r="C181">
        <v>4</v>
      </c>
      <c r="D181">
        <v>1</v>
      </c>
      <c r="E181">
        <v>2</v>
      </c>
      <c r="F181">
        <v>34.630000000000003</v>
      </c>
      <c r="G181">
        <v>3.55</v>
      </c>
      <c r="H181" s="25">
        <f t="shared" si="2"/>
        <v>4.2758934485060269</v>
      </c>
    </row>
    <row r="182" spans="1:8" x14ac:dyDescent="0.35">
      <c r="A182">
        <v>1</v>
      </c>
      <c r="B182">
        <v>0</v>
      </c>
      <c r="C182">
        <v>4</v>
      </c>
      <c r="D182">
        <v>1</v>
      </c>
      <c r="E182">
        <v>4</v>
      </c>
      <c r="F182">
        <v>34.65</v>
      </c>
      <c r="G182">
        <v>3.68</v>
      </c>
      <c r="H182" s="25">
        <f t="shared" si="2"/>
        <v>4.6277074599721919</v>
      </c>
    </row>
    <row r="183" spans="1:8" x14ac:dyDescent="0.35">
      <c r="A183">
        <v>1</v>
      </c>
      <c r="B183">
        <v>0</v>
      </c>
      <c r="C183">
        <v>4</v>
      </c>
      <c r="D183">
        <v>1</v>
      </c>
      <c r="E183">
        <v>2</v>
      </c>
      <c r="F183">
        <v>23.33</v>
      </c>
      <c r="G183">
        <v>5.65</v>
      </c>
      <c r="H183" s="25">
        <f t="shared" si="2"/>
        <v>3.2107156882419217</v>
      </c>
    </row>
    <row r="184" spans="1:8" x14ac:dyDescent="0.35">
      <c r="A184">
        <v>1</v>
      </c>
      <c r="B184">
        <v>0</v>
      </c>
      <c r="C184">
        <v>4</v>
      </c>
      <c r="D184">
        <v>1</v>
      </c>
      <c r="E184">
        <v>3</v>
      </c>
      <c r="F184">
        <v>45.35</v>
      </c>
      <c r="G184">
        <v>3.5</v>
      </c>
      <c r="H184" s="25">
        <f t="shared" si="2"/>
        <v>5.461362738524822</v>
      </c>
    </row>
    <row r="185" spans="1:8" x14ac:dyDescent="0.35">
      <c r="A185">
        <v>1</v>
      </c>
      <c r="B185">
        <v>0</v>
      </c>
      <c r="C185">
        <v>4</v>
      </c>
      <c r="D185">
        <v>1</v>
      </c>
      <c r="E185">
        <v>4</v>
      </c>
      <c r="F185">
        <v>23.17</v>
      </c>
      <c r="G185">
        <v>6.5</v>
      </c>
      <c r="H185" s="25">
        <f t="shared" si="2"/>
        <v>3.5455622663587478</v>
      </c>
    </row>
    <row r="186" spans="1:8" x14ac:dyDescent="0.35">
      <c r="A186">
        <v>1</v>
      </c>
      <c r="B186">
        <v>0</v>
      </c>
      <c r="C186">
        <v>4</v>
      </c>
      <c r="D186">
        <v>1</v>
      </c>
      <c r="E186">
        <v>2</v>
      </c>
      <c r="F186">
        <v>40.549999999999997</v>
      </c>
      <c r="G186">
        <v>3</v>
      </c>
      <c r="H186" s="25">
        <f t="shared" si="2"/>
        <v>4.8339334786620878</v>
      </c>
    </row>
    <row r="187" spans="1:8" x14ac:dyDescent="0.35">
      <c r="A187">
        <v>1</v>
      </c>
      <c r="B187">
        <v>1</v>
      </c>
      <c r="C187">
        <v>4</v>
      </c>
      <c r="D187">
        <v>1</v>
      </c>
      <c r="E187">
        <v>5</v>
      </c>
      <c r="F187">
        <v>20.69</v>
      </c>
      <c r="G187">
        <v>5</v>
      </c>
      <c r="H187" s="25">
        <f t="shared" si="2"/>
        <v>3.5595974415492302</v>
      </c>
    </row>
    <row r="188" spans="1:8" x14ac:dyDescent="0.35">
      <c r="A188">
        <v>0</v>
      </c>
      <c r="B188">
        <v>0</v>
      </c>
      <c r="C188">
        <v>4</v>
      </c>
      <c r="D188">
        <v>1</v>
      </c>
      <c r="E188">
        <v>3</v>
      </c>
      <c r="F188">
        <v>20.9</v>
      </c>
      <c r="G188">
        <v>3.5</v>
      </c>
      <c r="H188" s="25">
        <f t="shared" si="2"/>
        <v>3.1932522233392149</v>
      </c>
    </row>
    <row r="189" spans="1:8" x14ac:dyDescent="0.35">
      <c r="A189">
        <v>1</v>
      </c>
      <c r="B189">
        <v>0</v>
      </c>
      <c r="C189">
        <v>4</v>
      </c>
      <c r="D189">
        <v>1</v>
      </c>
      <c r="E189">
        <v>5</v>
      </c>
      <c r="F189">
        <v>30.46</v>
      </c>
      <c r="G189">
        <v>2</v>
      </c>
      <c r="H189" s="25">
        <f t="shared" si="2"/>
        <v>4.407707687554014</v>
      </c>
    </row>
    <row r="190" spans="1:8" x14ac:dyDescent="0.35">
      <c r="A190">
        <v>0</v>
      </c>
      <c r="B190">
        <v>0</v>
      </c>
      <c r="C190">
        <v>4</v>
      </c>
      <c r="D190">
        <v>1</v>
      </c>
      <c r="E190">
        <v>3</v>
      </c>
      <c r="F190">
        <v>18.149999999999999</v>
      </c>
      <c r="G190">
        <v>3.5</v>
      </c>
      <c r="H190" s="25">
        <f t="shared" si="2"/>
        <v>2.9340275471687471</v>
      </c>
    </row>
    <row r="191" spans="1:8" x14ac:dyDescent="0.35">
      <c r="A191">
        <v>1</v>
      </c>
      <c r="B191">
        <v>0</v>
      </c>
      <c r="C191">
        <v>4</v>
      </c>
      <c r="D191">
        <v>1</v>
      </c>
      <c r="E191">
        <v>3</v>
      </c>
      <c r="F191">
        <v>23.1</v>
      </c>
      <c r="G191">
        <v>4</v>
      </c>
      <c r="H191" s="25">
        <f t="shared" si="2"/>
        <v>3.3639994495092185</v>
      </c>
    </row>
    <row r="192" spans="1:8" x14ac:dyDescent="0.35">
      <c r="A192">
        <v>1</v>
      </c>
      <c r="B192">
        <v>0</v>
      </c>
      <c r="C192">
        <v>4</v>
      </c>
      <c r="D192">
        <v>1</v>
      </c>
      <c r="E192">
        <v>2</v>
      </c>
      <c r="F192">
        <v>15.69</v>
      </c>
      <c r="G192">
        <v>1.5</v>
      </c>
      <c r="H192" s="25">
        <f t="shared" si="2"/>
        <v>2.4905424060810581</v>
      </c>
    </row>
    <row r="193" spans="1:8" x14ac:dyDescent="0.35">
      <c r="A193">
        <v>0</v>
      </c>
      <c r="B193">
        <v>0</v>
      </c>
      <c r="C193">
        <v>1</v>
      </c>
      <c r="D193">
        <v>0</v>
      </c>
      <c r="E193">
        <v>2</v>
      </c>
      <c r="F193">
        <v>19.809999999999999</v>
      </c>
      <c r="G193">
        <v>4.1900000000000004</v>
      </c>
      <c r="H193" s="25">
        <f t="shared" si="2"/>
        <v>2.8725309642822774</v>
      </c>
    </row>
    <row r="194" spans="1:8" x14ac:dyDescent="0.35">
      <c r="A194">
        <v>1</v>
      </c>
      <c r="B194">
        <v>0</v>
      </c>
      <c r="C194">
        <v>1</v>
      </c>
      <c r="D194">
        <v>0</v>
      </c>
      <c r="E194">
        <v>2</v>
      </c>
      <c r="F194">
        <v>28.44</v>
      </c>
      <c r="G194">
        <v>2.56</v>
      </c>
      <c r="H194" s="25">
        <f t="shared" si="2"/>
        <v>3.6493926150981384</v>
      </c>
    </row>
    <row r="195" spans="1:8" x14ac:dyDescent="0.35">
      <c r="A195">
        <v>1</v>
      </c>
      <c r="B195">
        <v>0</v>
      </c>
      <c r="C195">
        <v>1</v>
      </c>
      <c r="D195">
        <v>0</v>
      </c>
      <c r="E195">
        <v>2</v>
      </c>
      <c r="F195">
        <v>15.48</v>
      </c>
      <c r="G195">
        <v>2.02</v>
      </c>
      <c r="H195" s="25">
        <f t="shared" ref="H195:H244" si="3">$L$4+$L$5*A195+$L$6*B195+$L$7*C195+$L$8*D195+$L$9*E195+$L$10*F195</f>
        <v>2.4277374139456782</v>
      </c>
    </row>
    <row r="196" spans="1:8" x14ac:dyDescent="0.35">
      <c r="A196">
        <v>1</v>
      </c>
      <c r="B196">
        <v>0</v>
      </c>
      <c r="C196">
        <v>1</v>
      </c>
      <c r="D196">
        <v>0</v>
      </c>
      <c r="E196">
        <v>2</v>
      </c>
      <c r="F196">
        <v>16.579999999999998</v>
      </c>
      <c r="G196">
        <v>4</v>
      </c>
      <c r="H196" s="25">
        <f t="shared" si="3"/>
        <v>2.5314272844138652</v>
      </c>
    </row>
    <row r="197" spans="1:8" x14ac:dyDescent="0.35">
      <c r="A197">
        <v>1</v>
      </c>
      <c r="B197">
        <v>1</v>
      </c>
      <c r="C197">
        <v>1</v>
      </c>
      <c r="D197">
        <v>0</v>
      </c>
      <c r="E197">
        <v>2</v>
      </c>
      <c r="F197">
        <v>7.56</v>
      </c>
      <c r="G197">
        <v>1.44</v>
      </c>
      <c r="H197" s="25">
        <f t="shared" si="3"/>
        <v>1.7540146773646639</v>
      </c>
    </row>
    <row r="198" spans="1:8" x14ac:dyDescent="0.35">
      <c r="A198">
        <v>1</v>
      </c>
      <c r="B198">
        <v>0</v>
      </c>
      <c r="C198">
        <v>1</v>
      </c>
      <c r="D198">
        <v>0</v>
      </c>
      <c r="E198">
        <v>2</v>
      </c>
      <c r="F198">
        <v>10.34</v>
      </c>
      <c r="G198">
        <v>2</v>
      </c>
      <c r="H198" s="25">
        <f t="shared" si="3"/>
        <v>1.9432229283034217</v>
      </c>
    </row>
    <row r="199" spans="1:8" x14ac:dyDescent="0.35">
      <c r="A199">
        <v>0</v>
      </c>
      <c r="B199">
        <v>0</v>
      </c>
      <c r="C199">
        <v>1</v>
      </c>
      <c r="D199">
        <v>0</v>
      </c>
      <c r="E199">
        <v>4</v>
      </c>
      <c r="F199">
        <v>43.11</v>
      </c>
      <c r="G199">
        <v>5</v>
      </c>
      <c r="H199" s="25">
        <f t="shared" si="3"/>
        <v>5.4187996889297132</v>
      </c>
    </row>
    <row r="200" spans="1:8" x14ac:dyDescent="0.35">
      <c r="A200">
        <v>0</v>
      </c>
      <c r="B200">
        <v>0</v>
      </c>
      <c r="C200">
        <v>1</v>
      </c>
      <c r="D200">
        <v>0</v>
      </c>
      <c r="E200">
        <v>2</v>
      </c>
      <c r="F200">
        <v>13</v>
      </c>
      <c r="G200">
        <v>2</v>
      </c>
      <c r="H200" s="25">
        <f t="shared" si="3"/>
        <v>2.2305964025655909</v>
      </c>
    </row>
    <row r="201" spans="1:8" x14ac:dyDescent="0.35">
      <c r="A201">
        <v>1</v>
      </c>
      <c r="B201">
        <v>0</v>
      </c>
      <c r="C201">
        <v>1</v>
      </c>
      <c r="D201">
        <v>0</v>
      </c>
      <c r="E201">
        <v>2</v>
      </c>
      <c r="F201">
        <v>13.51</v>
      </c>
      <c r="G201">
        <v>2</v>
      </c>
      <c r="H201" s="25">
        <f t="shared" si="3"/>
        <v>2.2420382822890157</v>
      </c>
    </row>
    <row r="202" spans="1:8" x14ac:dyDescent="0.35">
      <c r="A202">
        <v>1</v>
      </c>
      <c r="B202">
        <v>0</v>
      </c>
      <c r="C202">
        <v>1</v>
      </c>
      <c r="D202">
        <v>0</v>
      </c>
      <c r="E202">
        <v>3</v>
      </c>
      <c r="F202">
        <v>18.71</v>
      </c>
      <c r="G202">
        <v>4</v>
      </c>
      <c r="H202" s="25">
        <f t="shared" si="3"/>
        <v>2.9071729495947269</v>
      </c>
    </row>
    <row r="203" spans="1:8" x14ac:dyDescent="0.35">
      <c r="A203">
        <v>0</v>
      </c>
      <c r="B203">
        <v>0</v>
      </c>
      <c r="C203">
        <v>1</v>
      </c>
      <c r="D203">
        <v>0</v>
      </c>
      <c r="E203">
        <v>2</v>
      </c>
      <c r="F203">
        <v>12.74</v>
      </c>
      <c r="G203">
        <v>2.0099999999999998</v>
      </c>
      <c r="H203" s="25">
        <f t="shared" si="3"/>
        <v>2.206087887727656</v>
      </c>
    </row>
    <row r="204" spans="1:8" x14ac:dyDescent="0.35">
      <c r="A204">
        <v>0</v>
      </c>
      <c r="B204">
        <v>0</v>
      </c>
      <c r="C204">
        <v>1</v>
      </c>
      <c r="D204">
        <v>0</v>
      </c>
      <c r="E204">
        <v>2</v>
      </c>
      <c r="F204">
        <v>16.399999999999999</v>
      </c>
      <c r="G204">
        <v>2.5</v>
      </c>
      <c r="H204" s="25">
        <f t="shared" si="3"/>
        <v>2.5510923658308968</v>
      </c>
    </row>
    <row r="205" spans="1:8" x14ac:dyDescent="0.35">
      <c r="A205">
        <v>1</v>
      </c>
      <c r="B205">
        <v>0</v>
      </c>
      <c r="C205">
        <v>1</v>
      </c>
      <c r="D205">
        <v>0</v>
      </c>
      <c r="E205">
        <v>4</v>
      </c>
      <c r="F205">
        <v>20.53</v>
      </c>
      <c r="G205">
        <v>4</v>
      </c>
      <c r="H205" s="25">
        <f t="shared" si="3"/>
        <v>3.2536969240072811</v>
      </c>
    </row>
    <row r="206" spans="1:8" x14ac:dyDescent="0.35">
      <c r="A206">
        <v>0</v>
      </c>
      <c r="B206">
        <v>0</v>
      </c>
      <c r="C206">
        <v>1</v>
      </c>
      <c r="D206">
        <v>0</v>
      </c>
      <c r="E206">
        <v>3</v>
      </c>
      <c r="F206">
        <v>16.47</v>
      </c>
      <c r="G206">
        <v>3.23</v>
      </c>
      <c r="H206" s="25">
        <f t="shared" si="3"/>
        <v>2.7326551826804257</v>
      </c>
    </row>
    <row r="207" spans="1:8" x14ac:dyDescent="0.35">
      <c r="A207">
        <v>1</v>
      </c>
      <c r="B207">
        <v>0</v>
      </c>
      <c r="C207">
        <v>3</v>
      </c>
      <c r="D207">
        <v>1</v>
      </c>
      <c r="E207">
        <v>3</v>
      </c>
      <c r="F207">
        <v>26.59</v>
      </c>
      <c r="G207">
        <v>3.41</v>
      </c>
      <c r="H207" s="25">
        <f t="shared" si="3"/>
        <v>3.6399738244662583</v>
      </c>
    </row>
    <row r="208" spans="1:8" x14ac:dyDescent="0.35">
      <c r="A208">
        <v>1</v>
      </c>
      <c r="B208">
        <v>0</v>
      </c>
      <c r="C208">
        <v>3</v>
      </c>
      <c r="D208">
        <v>1</v>
      </c>
      <c r="E208">
        <v>4</v>
      </c>
      <c r="F208">
        <v>38.729999999999997</v>
      </c>
      <c r="G208">
        <v>3</v>
      </c>
      <c r="H208" s="25">
        <f t="shared" si="3"/>
        <v>4.9592973109076226</v>
      </c>
    </row>
    <row r="209" spans="1:8" x14ac:dyDescent="0.35">
      <c r="A209">
        <v>1</v>
      </c>
      <c r="B209">
        <v>0</v>
      </c>
      <c r="C209">
        <v>3</v>
      </c>
      <c r="D209">
        <v>1</v>
      </c>
      <c r="E209">
        <v>2</v>
      </c>
      <c r="F209">
        <v>24.27</v>
      </c>
      <c r="G209">
        <v>2.0299999999999998</v>
      </c>
      <c r="H209" s="25">
        <f t="shared" si="3"/>
        <v>3.2463180907499827</v>
      </c>
    </row>
    <row r="210" spans="1:8" x14ac:dyDescent="0.35">
      <c r="A210">
        <v>0</v>
      </c>
      <c r="B210">
        <v>0</v>
      </c>
      <c r="C210">
        <v>3</v>
      </c>
      <c r="D210">
        <v>1</v>
      </c>
      <c r="E210">
        <v>2</v>
      </c>
      <c r="F210">
        <v>12.76</v>
      </c>
      <c r="G210">
        <v>2.23</v>
      </c>
      <c r="H210" s="25">
        <f t="shared" si="3"/>
        <v>2.197977506344686</v>
      </c>
    </row>
    <row r="211" spans="1:8" x14ac:dyDescent="0.35">
      <c r="A211">
        <v>1</v>
      </c>
      <c r="B211">
        <v>0</v>
      </c>
      <c r="C211">
        <v>3</v>
      </c>
      <c r="D211">
        <v>1</v>
      </c>
      <c r="E211">
        <v>3</v>
      </c>
      <c r="F211">
        <v>30.06</v>
      </c>
      <c r="G211">
        <v>2</v>
      </c>
      <c r="H211" s="25">
        <f t="shared" si="3"/>
        <v>3.9670682340340848</v>
      </c>
    </row>
    <row r="212" spans="1:8" x14ac:dyDescent="0.35">
      <c r="A212">
        <v>1</v>
      </c>
      <c r="B212">
        <v>0</v>
      </c>
      <c r="C212">
        <v>3</v>
      </c>
      <c r="D212">
        <v>1</v>
      </c>
      <c r="E212">
        <v>4</v>
      </c>
      <c r="F212">
        <v>25.89</v>
      </c>
      <c r="G212">
        <v>5.16</v>
      </c>
      <c r="H212" s="25">
        <f t="shared" si="3"/>
        <v>3.7489537319880561</v>
      </c>
    </row>
    <row r="213" spans="1:8" x14ac:dyDescent="0.35">
      <c r="A213">
        <v>1</v>
      </c>
      <c r="B213">
        <v>1</v>
      </c>
      <c r="C213">
        <v>3</v>
      </c>
      <c r="D213">
        <v>1</v>
      </c>
      <c r="E213">
        <v>4</v>
      </c>
      <c r="F213">
        <v>48.33</v>
      </c>
      <c r="G213">
        <v>9</v>
      </c>
      <c r="H213" s="25">
        <f t="shared" si="3"/>
        <v>5.9370714203290067</v>
      </c>
    </row>
    <row r="214" spans="1:8" x14ac:dyDescent="0.35">
      <c r="A214">
        <v>0</v>
      </c>
      <c r="B214">
        <v>0</v>
      </c>
      <c r="C214">
        <v>3</v>
      </c>
      <c r="D214">
        <v>1</v>
      </c>
      <c r="E214">
        <v>2</v>
      </c>
      <c r="F214">
        <v>13.27</v>
      </c>
      <c r="G214">
        <v>2.5</v>
      </c>
      <c r="H214" s="25">
        <f t="shared" si="3"/>
        <v>2.2460519008344821</v>
      </c>
    </row>
    <row r="215" spans="1:8" x14ac:dyDescent="0.35">
      <c r="A215">
        <v>0</v>
      </c>
      <c r="B215">
        <v>0</v>
      </c>
      <c r="C215">
        <v>3</v>
      </c>
      <c r="D215">
        <v>1</v>
      </c>
      <c r="E215">
        <v>3</v>
      </c>
      <c r="F215">
        <v>28.17</v>
      </c>
      <c r="G215">
        <v>6.5</v>
      </c>
      <c r="H215" s="25">
        <f t="shared" si="3"/>
        <v>3.8255426986323897</v>
      </c>
    </row>
    <row r="216" spans="1:8" x14ac:dyDescent="0.35">
      <c r="A216">
        <v>0</v>
      </c>
      <c r="B216">
        <v>0</v>
      </c>
      <c r="C216">
        <v>3</v>
      </c>
      <c r="D216">
        <v>1</v>
      </c>
      <c r="E216">
        <v>2</v>
      </c>
      <c r="F216">
        <v>12.9</v>
      </c>
      <c r="G216">
        <v>1.1000000000000001</v>
      </c>
      <c r="H216" s="25">
        <f t="shared" si="3"/>
        <v>2.2111743989497281</v>
      </c>
    </row>
    <row r="217" spans="1:8" x14ac:dyDescent="0.35">
      <c r="A217">
        <v>1</v>
      </c>
      <c r="B217">
        <v>0</v>
      </c>
      <c r="C217">
        <v>3</v>
      </c>
      <c r="D217">
        <v>1</v>
      </c>
      <c r="E217">
        <v>5</v>
      </c>
      <c r="F217">
        <v>28.15</v>
      </c>
      <c r="G217">
        <v>3</v>
      </c>
      <c r="H217" s="25">
        <f t="shared" si="3"/>
        <v>4.1369536545878853</v>
      </c>
    </row>
    <row r="218" spans="1:8" x14ac:dyDescent="0.35">
      <c r="A218">
        <v>1</v>
      </c>
      <c r="B218">
        <v>0</v>
      </c>
      <c r="C218">
        <v>3</v>
      </c>
      <c r="D218">
        <v>1</v>
      </c>
      <c r="E218">
        <v>2</v>
      </c>
      <c r="F218">
        <v>11.59</v>
      </c>
      <c r="G218">
        <v>1.5</v>
      </c>
      <c r="H218" s="25">
        <f t="shared" si="3"/>
        <v>2.0510566748076071</v>
      </c>
    </row>
    <row r="219" spans="1:8" x14ac:dyDescent="0.35">
      <c r="A219">
        <v>1</v>
      </c>
      <c r="B219">
        <v>0</v>
      </c>
      <c r="C219">
        <v>3</v>
      </c>
      <c r="D219">
        <v>1</v>
      </c>
      <c r="E219">
        <v>2</v>
      </c>
      <c r="F219">
        <v>7.74</v>
      </c>
      <c r="G219">
        <v>1.44</v>
      </c>
      <c r="H219" s="25">
        <f t="shared" si="3"/>
        <v>1.6881421281689519</v>
      </c>
    </row>
    <row r="220" spans="1:8" x14ac:dyDescent="0.35">
      <c r="A220">
        <v>0</v>
      </c>
      <c r="B220">
        <v>0</v>
      </c>
      <c r="C220">
        <v>3</v>
      </c>
      <c r="D220">
        <v>1</v>
      </c>
      <c r="E220">
        <v>4</v>
      </c>
      <c r="F220">
        <v>30.14</v>
      </c>
      <c r="G220">
        <v>3.09</v>
      </c>
      <c r="H220" s="25">
        <f t="shared" si="3"/>
        <v>4.1862062008360592</v>
      </c>
    </row>
    <row r="221" spans="1:8" x14ac:dyDescent="0.35">
      <c r="A221">
        <v>1</v>
      </c>
      <c r="B221">
        <v>0</v>
      </c>
      <c r="C221">
        <v>2</v>
      </c>
      <c r="D221">
        <v>0</v>
      </c>
      <c r="E221">
        <v>2</v>
      </c>
      <c r="F221">
        <v>12.16</v>
      </c>
      <c r="G221">
        <v>2.2000000000000002</v>
      </c>
      <c r="H221" s="25">
        <f t="shared" si="3"/>
        <v>2.1677878371519039</v>
      </c>
    </row>
    <row r="222" spans="1:8" x14ac:dyDescent="0.35">
      <c r="A222">
        <v>0</v>
      </c>
      <c r="B222">
        <v>0</v>
      </c>
      <c r="C222">
        <v>2</v>
      </c>
      <c r="D222">
        <v>0</v>
      </c>
      <c r="E222">
        <v>2</v>
      </c>
      <c r="F222">
        <v>13.42</v>
      </c>
      <c r="G222">
        <v>3.48</v>
      </c>
      <c r="H222" s="25">
        <f t="shared" si="3"/>
        <v>2.3231923853636527</v>
      </c>
    </row>
    <row r="223" spans="1:8" x14ac:dyDescent="0.35">
      <c r="A223">
        <v>1</v>
      </c>
      <c r="B223">
        <v>0</v>
      </c>
      <c r="C223">
        <v>2</v>
      </c>
      <c r="D223">
        <v>0</v>
      </c>
      <c r="E223">
        <v>1</v>
      </c>
      <c r="F223">
        <v>8.58</v>
      </c>
      <c r="G223">
        <v>1.92</v>
      </c>
      <c r="H223" s="25">
        <f t="shared" si="3"/>
        <v>1.65536006999025</v>
      </c>
    </row>
    <row r="224" spans="1:8" x14ac:dyDescent="0.35">
      <c r="A224">
        <v>0</v>
      </c>
      <c r="B224">
        <v>1</v>
      </c>
      <c r="C224">
        <v>2</v>
      </c>
      <c r="D224">
        <v>0</v>
      </c>
      <c r="E224">
        <v>3</v>
      </c>
      <c r="F224">
        <v>15.98</v>
      </c>
      <c r="G224">
        <v>3</v>
      </c>
      <c r="H224" s="25">
        <f t="shared" si="3"/>
        <v>2.8123156943356484</v>
      </c>
    </row>
    <row r="225" spans="1:8" x14ac:dyDescent="0.35">
      <c r="A225">
        <v>1</v>
      </c>
      <c r="B225">
        <v>0</v>
      </c>
      <c r="C225">
        <v>2</v>
      </c>
      <c r="D225">
        <v>0</v>
      </c>
      <c r="E225">
        <v>2</v>
      </c>
      <c r="F225">
        <v>13.42</v>
      </c>
      <c r="G225">
        <v>1.58</v>
      </c>
      <c r="H225" s="25">
        <f t="shared" si="3"/>
        <v>2.2865598705972818</v>
      </c>
    </row>
    <row r="226" spans="1:8" x14ac:dyDescent="0.35">
      <c r="A226">
        <v>0</v>
      </c>
      <c r="B226">
        <v>0</v>
      </c>
      <c r="C226">
        <v>2</v>
      </c>
      <c r="D226">
        <v>0</v>
      </c>
      <c r="E226">
        <v>2</v>
      </c>
      <c r="F226">
        <v>16.27</v>
      </c>
      <c r="G226">
        <v>2.5</v>
      </c>
      <c r="H226" s="25">
        <f t="shared" si="3"/>
        <v>2.5918434133948649</v>
      </c>
    </row>
    <row r="227" spans="1:8" x14ac:dyDescent="0.35">
      <c r="A227">
        <v>0</v>
      </c>
      <c r="B227">
        <v>0</v>
      </c>
      <c r="C227">
        <v>2</v>
      </c>
      <c r="D227">
        <v>0</v>
      </c>
      <c r="E227">
        <v>2</v>
      </c>
      <c r="F227">
        <v>10.09</v>
      </c>
      <c r="G227">
        <v>2</v>
      </c>
      <c r="H227" s="25">
        <f t="shared" si="3"/>
        <v>2.0092948684008682</v>
      </c>
    </row>
    <row r="228" spans="1:8" x14ac:dyDescent="0.35">
      <c r="A228">
        <v>1</v>
      </c>
      <c r="B228">
        <v>1</v>
      </c>
      <c r="C228">
        <v>3</v>
      </c>
      <c r="D228">
        <v>1</v>
      </c>
      <c r="E228">
        <v>4</v>
      </c>
      <c r="F228">
        <v>20.45</v>
      </c>
      <c r="G228">
        <v>3</v>
      </c>
      <c r="H228" s="25">
        <f t="shared" si="3"/>
        <v>3.3090045215534998</v>
      </c>
    </row>
    <row r="229" spans="1:8" x14ac:dyDescent="0.35">
      <c r="A229">
        <v>1</v>
      </c>
      <c r="B229">
        <v>1</v>
      </c>
      <c r="C229">
        <v>3</v>
      </c>
      <c r="D229">
        <v>1</v>
      </c>
      <c r="E229">
        <v>2</v>
      </c>
      <c r="F229">
        <v>13.28</v>
      </c>
      <c r="G229">
        <v>2.72</v>
      </c>
      <c r="H229" s="25">
        <f t="shared" si="3"/>
        <v>2.2832063520441181</v>
      </c>
    </row>
    <row r="230" spans="1:8" x14ac:dyDescent="0.35">
      <c r="A230">
        <v>0</v>
      </c>
      <c r="B230">
        <v>0</v>
      </c>
      <c r="C230">
        <v>3</v>
      </c>
      <c r="D230">
        <v>1</v>
      </c>
      <c r="E230">
        <v>2</v>
      </c>
      <c r="F230">
        <v>22.12</v>
      </c>
      <c r="G230">
        <v>2.88</v>
      </c>
      <c r="H230" s="25">
        <f t="shared" si="3"/>
        <v>3.0802840405103518</v>
      </c>
    </row>
    <row r="231" spans="1:8" x14ac:dyDescent="0.35">
      <c r="A231">
        <v>1</v>
      </c>
      <c r="B231">
        <v>0</v>
      </c>
      <c r="C231">
        <v>3</v>
      </c>
      <c r="D231">
        <v>1</v>
      </c>
      <c r="E231">
        <v>4</v>
      </c>
      <c r="F231">
        <v>24.01</v>
      </c>
      <c r="G231">
        <v>2</v>
      </c>
      <c r="H231" s="25">
        <f t="shared" si="3"/>
        <v>3.5717383170060639</v>
      </c>
    </row>
    <row r="232" spans="1:8" x14ac:dyDescent="0.35">
      <c r="A232">
        <v>1</v>
      </c>
      <c r="B232">
        <v>0</v>
      </c>
      <c r="C232">
        <v>3</v>
      </c>
      <c r="D232">
        <v>1</v>
      </c>
      <c r="E232">
        <v>3</v>
      </c>
      <c r="F232">
        <v>15.69</v>
      </c>
      <c r="G232">
        <v>3</v>
      </c>
      <c r="H232" s="25">
        <f t="shared" si="3"/>
        <v>2.6125014716451309</v>
      </c>
    </row>
    <row r="233" spans="1:8" x14ac:dyDescent="0.35">
      <c r="A233">
        <v>1</v>
      </c>
      <c r="B233">
        <v>1</v>
      </c>
      <c r="C233">
        <v>3</v>
      </c>
      <c r="D233">
        <v>1</v>
      </c>
      <c r="E233">
        <v>2</v>
      </c>
      <c r="F233">
        <v>11.61</v>
      </c>
      <c r="G233">
        <v>3.39</v>
      </c>
      <c r="H233" s="25">
        <f t="shared" si="3"/>
        <v>2.1257862759696886</v>
      </c>
    </row>
    <row r="234" spans="1:8" x14ac:dyDescent="0.35">
      <c r="A234">
        <v>1</v>
      </c>
      <c r="B234">
        <v>1</v>
      </c>
      <c r="C234">
        <v>3</v>
      </c>
      <c r="D234">
        <v>1</v>
      </c>
      <c r="E234">
        <v>2</v>
      </c>
      <c r="F234">
        <v>10.77</v>
      </c>
      <c r="G234">
        <v>1.47</v>
      </c>
      <c r="H234" s="25">
        <f t="shared" si="3"/>
        <v>2.046604920339437</v>
      </c>
    </row>
    <row r="235" spans="1:8" x14ac:dyDescent="0.35">
      <c r="A235">
        <v>1</v>
      </c>
      <c r="B235">
        <v>0</v>
      </c>
      <c r="C235">
        <v>3</v>
      </c>
      <c r="D235">
        <v>1</v>
      </c>
      <c r="E235">
        <v>2</v>
      </c>
      <c r="F235">
        <v>15.53</v>
      </c>
      <c r="G235">
        <v>3</v>
      </c>
      <c r="H235" s="25">
        <f t="shared" si="3"/>
        <v>2.4224549381209317</v>
      </c>
    </row>
    <row r="236" spans="1:8" x14ac:dyDescent="0.35">
      <c r="A236">
        <v>1</v>
      </c>
      <c r="B236">
        <v>1</v>
      </c>
      <c r="C236">
        <v>3</v>
      </c>
      <c r="D236">
        <v>1</v>
      </c>
      <c r="E236">
        <v>2</v>
      </c>
      <c r="F236">
        <v>10.07</v>
      </c>
      <c r="G236">
        <v>1.25</v>
      </c>
      <c r="H236" s="25">
        <f t="shared" si="3"/>
        <v>1.980620457314227</v>
      </c>
    </row>
    <row r="237" spans="1:8" x14ac:dyDescent="0.35">
      <c r="A237">
        <v>1</v>
      </c>
      <c r="B237">
        <v>0</v>
      </c>
      <c r="C237">
        <v>3</v>
      </c>
      <c r="D237">
        <v>1</v>
      </c>
      <c r="E237">
        <v>2</v>
      </c>
      <c r="F237">
        <v>12.6</v>
      </c>
      <c r="G237">
        <v>1</v>
      </c>
      <c r="H237" s="25">
        <f t="shared" si="3"/>
        <v>2.1462628286011243</v>
      </c>
    </row>
    <row r="238" spans="1:8" x14ac:dyDescent="0.35">
      <c r="A238">
        <v>1</v>
      </c>
      <c r="B238">
        <v>0</v>
      </c>
      <c r="C238">
        <v>3</v>
      </c>
      <c r="D238">
        <v>1</v>
      </c>
      <c r="E238">
        <v>2</v>
      </c>
      <c r="F238">
        <v>32.83</v>
      </c>
      <c r="G238">
        <v>1.17</v>
      </c>
      <c r="H238" s="25">
        <f t="shared" si="3"/>
        <v>4.0532138100296935</v>
      </c>
    </row>
    <row r="239" spans="1:8" x14ac:dyDescent="0.35">
      <c r="A239">
        <v>0</v>
      </c>
      <c r="B239">
        <v>1</v>
      </c>
      <c r="C239">
        <v>3</v>
      </c>
      <c r="D239">
        <v>1</v>
      </c>
      <c r="E239">
        <v>3</v>
      </c>
      <c r="F239">
        <v>35.83</v>
      </c>
      <c r="G239">
        <v>4.67</v>
      </c>
      <c r="H239" s="25">
        <f t="shared" si="3"/>
        <v>4.6204455819553347</v>
      </c>
    </row>
    <row r="240" spans="1:8" x14ac:dyDescent="0.35">
      <c r="A240">
        <v>1</v>
      </c>
      <c r="B240">
        <v>1</v>
      </c>
      <c r="C240">
        <v>3</v>
      </c>
      <c r="D240">
        <v>1</v>
      </c>
      <c r="E240">
        <v>3</v>
      </c>
      <c r="F240">
        <v>29.03</v>
      </c>
      <c r="G240">
        <v>5.92</v>
      </c>
      <c r="H240" s="25">
        <f t="shared" si="3"/>
        <v>3.9428211406583524</v>
      </c>
    </row>
    <row r="241" spans="1:8" x14ac:dyDescent="0.35">
      <c r="A241">
        <v>0</v>
      </c>
      <c r="B241">
        <v>0</v>
      </c>
      <c r="C241">
        <v>3</v>
      </c>
      <c r="D241">
        <v>1</v>
      </c>
      <c r="E241">
        <v>2</v>
      </c>
      <c r="F241">
        <v>27.18</v>
      </c>
      <c r="G241">
        <v>2</v>
      </c>
      <c r="H241" s="25">
        <f t="shared" si="3"/>
        <v>3.5572574446640126</v>
      </c>
    </row>
    <row r="242" spans="1:8" x14ac:dyDescent="0.35">
      <c r="A242">
        <v>1</v>
      </c>
      <c r="B242">
        <v>0</v>
      </c>
      <c r="C242">
        <v>3</v>
      </c>
      <c r="D242">
        <v>1</v>
      </c>
      <c r="E242">
        <v>2</v>
      </c>
      <c r="F242">
        <v>22.67</v>
      </c>
      <c r="G242">
        <v>2</v>
      </c>
      <c r="H242" s="25">
        <f t="shared" si="3"/>
        <v>3.0954964609780742</v>
      </c>
    </row>
    <row r="243" spans="1:8" x14ac:dyDescent="0.35">
      <c r="A243">
        <v>1</v>
      </c>
      <c r="B243">
        <v>1</v>
      </c>
      <c r="C243">
        <v>3</v>
      </c>
      <c r="D243">
        <v>1</v>
      </c>
      <c r="E243">
        <v>2</v>
      </c>
      <c r="F243">
        <v>17.82</v>
      </c>
      <c r="G243">
        <v>1.75</v>
      </c>
      <c r="H243" s="25">
        <f t="shared" si="3"/>
        <v>2.7111627265219091</v>
      </c>
    </row>
    <row r="244" spans="1:8" x14ac:dyDescent="0.35">
      <c r="A244">
        <v>0</v>
      </c>
      <c r="B244">
        <v>1</v>
      </c>
      <c r="C244">
        <v>1</v>
      </c>
      <c r="D244">
        <v>1</v>
      </c>
      <c r="E244">
        <v>2</v>
      </c>
      <c r="F244">
        <v>18.78</v>
      </c>
      <c r="G244">
        <v>3</v>
      </c>
      <c r="H244" s="25">
        <f t="shared" si="3"/>
        <v>2.7322776091855543</v>
      </c>
    </row>
    <row r="1048576" spans="7:7" x14ac:dyDescent="0.35">
      <c r="G1048576">
        <v>729.58</v>
      </c>
    </row>
  </sheetData>
  <dataConsolidate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Cleaned and encoded data</vt:lpstr>
      <vt:lpstr>Pivot and Pie chart</vt:lpstr>
      <vt:lpstr>Bar chart</vt:lpstr>
      <vt:lpstr>Correlation</vt:lpstr>
      <vt:lpstr>Regression</vt:lpstr>
      <vt:lpstr>Predicted tip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Balaji Venkateswaran</dc:creator>
  <cp:lastModifiedBy>Public</cp:lastModifiedBy>
  <cp:revision/>
  <dcterms:created xsi:type="dcterms:W3CDTF">2021-10-26T16:10:41Z</dcterms:created>
  <dcterms:modified xsi:type="dcterms:W3CDTF">2025-10-03T10:46:31Z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